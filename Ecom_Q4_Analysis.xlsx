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somo\OneDrive\Documents\"/>
    </mc:Choice>
  </mc:AlternateContent>
  <xr:revisionPtr revIDLastSave="0" documentId="13_ncr:1_{8BA66D82-DB35-4E48-A68A-236792D44D80}" xr6:coauthVersionLast="47" xr6:coauthVersionMax="47" xr10:uidLastSave="{00000000-0000-0000-0000-000000000000}"/>
  <bookViews>
    <workbookView xWindow="-110" yWindow="-110" windowWidth="19420" windowHeight="10300" tabRatio="902" activeTab="2" xr2:uid="{00000000-000D-0000-FFFF-FFFF00000000}"/>
  </bookViews>
  <sheets>
    <sheet name="Revenue by Engagement Tier" sheetId="3" r:id="rId1"/>
    <sheet name="Monthly Revenue by Region" sheetId="4" r:id="rId2"/>
    <sheet name="DASHBOARD" sheetId="6" r:id="rId3"/>
    <sheet name="Revenue by Category" sheetId="5" r:id="rId4"/>
    <sheet name="Dummy_E-commerce_Transactions.c" sheetId="1" r:id="rId5"/>
  </sheets>
  <calcPr calcId="181029"/>
  <pivotCaches>
    <pivotCache cacheId="21" r:id="rId6"/>
    <pivotCache cacheId="29" r:id="rId7"/>
  </pivotCaches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G7" i="1"/>
  <c r="G8" i="1"/>
  <c r="G13" i="1"/>
  <c r="G14" i="1"/>
  <c r="G15" i="1"/>
  <c r="G16" i="1"/>
  <c r="G23" i="1"/>
  <c r="G24" i="1"/>
  <c r="G29" i="1"/>
  <c r="G31" i="1"/>
  <c r="G32" i="1"/>
  <c r="G37" i="1"/>
  <c r="G38" i="1"/>
  <c r="G39" i="1"/>
  <c r="G40" i="1"/>
  <c r="G47" i="1"/>
  <c r="G48" i="1"/>
  <c r="G53" i="1"/>
  <c r="G54" i="1"/>
  <c r="G55" i="1"/>
  <c r="G56" i="1"/>
  <c r="G61" i="1"/>
  <c r="G62" i="1"/>
  <c r="G63" i="1"/>
  <c r="G64" i="1"/>
  <c r="G65" i="1"/>
  <c r="G71" i="1"/>
  <c r="G72" i="1"/>
  <c r="G77" i="1"/>
  <c r="G78" i="1"/>
  <c r="G79" i="1"/>
  <c r="G80" i="1"/>
  <c r="G87" i="1"/>
  <c r="G88" i="1"/>
  <c r="G93" i="1"/>
  <c r="G95" i="1"/>
  <c r="G96" i="1"/>
  <c r="G101" i="1"/>
  <c r="G102" i="1"/>
  <c r="G103" i="1"/>
  <c r="G104" i="1"/>
  <c r="G111" i="1"/>
  <c r="G112" i="1"/>
  <c r="G117" i="1"/>
  <c r="G118" i="1"/>
  <c r="G119" i="1"/>
  <c r="G120" i="1"/>
  <c r="G125" i="1"/>
  <c r="G126" i="1"/>
  <c r="G127" i="1"/>
  <c r="G128" i="1"/>
  <c r="G129" i="1"/>
  <c r="G135" i="1"/>
  <c r="G136" i="1"/>
  <c r="G141" i="1"/>
  <c r="G142" i="1"/>
  <c r="G143" i="1"/>
  <c r="G144" i="1"/>
  <c r="G151" i="1"/>
  <c r="G152" i="1"/>
  <c r="G157" i="1"/>
  <c r="G159" i="1"/>
  <c r="G160" i="1"/>
  <c r="G165" i="1"/>
  <c r="G166" i="1"/>
  <c r="G167" i="1"/>
  <c r="G168" i="1"/>
  <c r="G175" i="1"/>
  <c r="G176" i="1"/>
  <c r="G180" i="1"/>
  <c r="G181" i="1"/>
  <c r="G183" i="1"/>
  <c r="G184" i="1"/>
  <c r="G188" i="1"/>
  <c r="G189" i="1"/>
  <c r="G190" i="1"/>
  <c r="G191" i="1"/>
  <c r="G192" i="1"/>
  <c r="G197" i="1"/>
  <c r="G198" i="1"/>
  <c r="G199" i="1"/>
  <c r="G200" i="1"/>
  <c r="G201" i="1"/>
  <c r="G207" i="1"/>
  <c r="G208" i="1"/>
  <c r="G212" i="1"/>
  <c r="G213" i="1"/>
  <c r="G215" i="1"/>
  <c r="G216" i="1"/>
  <c r="G220" i="1"/>
  <c r="G221" i="1"/>
  <c r="G222" i="1"/>
  <c r="G223" i="1"/>
  <c r="G224" i="1"/>
  <c r="G229" i="1"/>
  <c r="G230" i="1"/>
  <c r="G231" i="1"/>
  <c r="G232" i="1"/>
  <c r="G233" i="1"/>
  <c r="G239" i="1"/>
  <c r="G240" i="1"/>
  <c r="G244" i="1"/>
  <c r="G245" i="1"/>
  <c r="G247" i="1"/>
  <c r="G248" i="1"/>
  <c r="G252" i="1"/>
  <c r="G253" i="1"/>
  <c r="G254" i="1"/>
  <c r="G255" i="1"/>
  <c r="G256" i="1"/>
  <c r="G261" i="1"/>
  <c r="G262" i="1"/>
  <c r="G263" i="1"/>
  <c r="G264" i="1"/>
  <c r="G265" i="1"/>
  <c r="G271" i="1"/>
  <c r="G272" i="1"/>
  <c r="G276" i="1"/>
  <c r="G277" i="1"/>
  <c r="G279" i="1"/>
  <c r="G280" i="1"/>
  <c r="G284" i="1"/>
  <c r="G285" i="1"/>
  <c r="G286" i="1"/>
  <c r="G287" i="1"/>
  <c r="G288" i="1"/>
  <c r="G293" i="1"/>
  <c r="G294" i="1"/>
  <c r="G295" i="1"/>
  <c r="G296" i="1"/>
  <c r="G297" i="1"/>
  <c r="G303" i="1"/>
  <c r="G304" i="1"/>
  <c r="G308" i="1"/>
  <c r="G309" i="1"/>
  <c r="G311" i="1"/>
  <c r="G312" i="1"/>
  <c r="G316" i="1"/>
  <c r="G317" i="1"/>
  <c r="G318" i="1"/>
  <c r="G319" i="1"/>
  <c r="G320" i="1"/>
  <c r="G325" i="1"/>
  <c r="G326" i="1"/>
  <c r="G327" i="1"/>
  <c r="G328" i="1"/>
  <c r="G329" i="1"/>
  <c r="G335" i="1"/>
  <c r="G336" i="1"/>
  <c r="G340" i="1"/>
  <c r="G341" i="1"/>
  <c r="G343" i="1"/>
  <c r="G344" i="1"/>
  <c r="G348" i="1"/>
  <c r="G349" i="1"/>
  <c r="G350" i="1"/>
  <c r="G351" i="1"/>
  <c r="G352" i="1"/>
  <c r="G357" i="1"/>
  <c r="G358" i="1"/>
  <c r="G359" i="1"/>
  <c r="G360" i="1"/>
  <c r="G361" i="1"/>
  <c r="G367" i="1"/>
  <c r="G368" i="1"/>
  <c r="G372" i="1"/>
  <c r="G373" i="1"/>
  <c r="G375" i="1"/>
  <c r="G376" i="1"/>
  <c r="G380" i="1"/>
  <c r="G381" i="1"/>
  <c r="G382" i="1"/>
  <c r="G383" i="1"/>
  <c r="G384" i="1"/>
  <c r="G389" i="1"/>
  <c r="G390" i="1"/>
  <c r="G391" i="1"/>
  <c r="G392" i="1"/>
  <c r="G393" i="1"/>
  <c r="G400" i="1"/>
  <c r="G404" i="1"/>
  <c r="G405" i="1"/>
  <c r="G408" i="1"/>
  <c r="G412" i="1"/>
  <c r="G413" i="1"/>
  <c r="G414" i="1"/>
  <c r="G415" i="1"/>
  <c r="G416" i="1"/>
  <c r="G421" i="1"/>
  <c r="G422" i="1"/>
  <c r="G423" i="1"/>
  <c r="G424" i="1"/>
  <c r="G425" i="1"/>
  <c r="G432" i="1"/>
  <c r="G436" i="1"/>
  <c r="G437" i="1"/>
  <c r="G440" i="1"/>
  <c r="G444" i="1"/>
  <c r="G445" i="1"/>
  <c r="G446" i="1"/>
  <c r="G447" i="1"/>
  <c r="G448" i="1"/>
  <c r="G454" i="1"/>
  <c r="G455" i="1"/>
  <c r="G456" i="1"/>
  <c r="G457" i="1"/>
  <c r="G464" i="1"/>
  <c r="G468" i="1"/>
  <c r="G469" i="1"/>
  <c r="G472" i="1"/>
  <c r="G476" i="1"/>
  <c r="G477" i="1"/>
  <c r="G478" i="1"/>
  <c r="G479" i="1"/>
  <c r="G480" i="1"/>
  <c r="G486" i="1"/>
  <c r="G487" i="1"/>
  <c r="G488" i="1"/>
  <c r="G489" i="1"/>
  <c r="G496" i="1"/>
  <c r="G500" i="1"/>
  <c r="G501" i="1"/>
  <c r="F3" i="1"/>
  <c r="G3" i="1" s="1"/>
  <c r="F4" i="1"/>
  <c r="G4" i="1" s="1"/>
  <c r="F5" i="1"/>
  <c r="G5" i="1" s="1"/>
  <c r="F6" i="1"/>
  <c r="G6" i="1" s="1"/>
  <c r="F7" i="1"/>
  <c r="F8" i="1"/>
  <c r="F9" i="1"/>
  <c r="G9" i="1" s="1"/>
  <c r="F10" i="1"/>
  <c r="G10" i="1" s="1"/>
  <c r="F11" i="1"/>
  <c r="G11" i="1" s="1"/>
  <c r="F12" i="1"/>
  <c r="G12" i="1" s="1"/>
  <c r="F13" i="1"/>
  <c r="F14" i="1"/>
  <c r="F15" i="1"/>
  <c r="F16" i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F24" i="1"/>
  <c r="F25" i="1"/>
  <c r="G25" i="1" s="1"/>
  <c r="F26" i="1"/>
  <c r="G26" i="1" s="1"/>
  <c r="F27" i="1"/>
  <c r="G27" i="1" s="1"/>
  <c r="F28" i="1"/>
  <c r="G28" i="1" s="1"/>
  <c r="F29" i="1"/>
  <c r="F30" i="1"/>
  <c r="G30" i="1" s="1"/>
  <c r="F31" i="1"/>
  <c r="F32" i="1"/>
  <c r="F33" i="1"/>
  <c r="G33" i="1" s="1"/>
  <c r="F34" i="1"/>
  <c r="G34" i="1" s="1"/>
  <c r="F35" i="1"/>
  <c r="G35" i="1" s="1"/>
  <c r="F36" i="1"/>
  <c r="G36" i="1" s="1"/>
  <c r="F37" i="1"/>
  <c r="F38" i="1"/>
  <c r="F39" i="1"/>
  <c r="F40" i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F48" i="1"/>
  <c r="F49" i="1"/>
  <c r="G49" i="1" s="1"/>
  <c r="F50" i="1"/>
  <c r="G50" i="1" s="1"/>
  <c r="F51" i="1"/>
  <c r="G51" i="1" s="1"/>
  <c r="F52" i="1"/>
  <c r="G52" i="1" s="1"/>
  <c r="F53" i="1"/>
  <c r="F54" i="1"/>
  <c r="F55" i="1"/>
  <c r="F56" i="1"/>
  <c r="F57" i="1"/>
  <c r="G57" i="1" s="1"/>
  <c r="F58" i="1"/>
  <c r="G58" i="1" s="1"/>
  <c r="F59" i="1"/>
  <c r="G59" i="1" s="1"/>
  <c r="F60" i="1"/>
  <c r="G60" i="1" s="1"/>
  <c r="F61" i="1"/>
  <c r="F62" i="1"/>
  <c r="F63" i="1"/>
  <c r="F64" i="1"/>
  <c r="F65" i="1"/>
  <c r="F66" i="1"/>
  <c r="G66" i="1" s="1"/>
  <c r="F67" i="1"/>
  <c r="G67" i="1" s="1"/>
  <c r="F68" i="1"/>
  <c r="G68" i="1" s="1"/>
  <c r="F69" i="1"/>
  <c r="G69" i="1" s="1"/>
  <c r="F70" i="1"/>
  <c r="G70" i="1" s="1"/>
  <c r="F71" i="1"/>
  <c r="F72" i="1"/>
  <c r="F73" i="1"/>
  <c r="G73" i="1" s="1"/>
  <c r="F74" i="1"/>
  <c r="G74" i="1" s="1"/>
  <c r="F75" i="1"/>
  <c r="G75" i="1" s="1"/>
  <c r="F76" i="1"/>
  <c r="G76" i="1" s="1"/>
  <c r="F77" i="1"/>
  <c r="F78" i="1"/>
  <c r="F79" i="1"/>
  <c r="F80" i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F88" i="1"/>
  <c r="F89" i="1"/>
  <c r="G89" i="1" s="1"/>
  <c r="F90" i="1"/>
  <c r="G90" i="1" s="1"/>
  <c r="F91" i="1"/>
  <c r="G91" i="1" s="1"/>
  <c r="F92" i="1"/>
  <c r="G92" i="1" s="1"/>
  <c r="F93" i="1"/>
  <c r="F94" i="1"/>
  <c r="G94" i="1" s="1"/>
  <c r="F95" i="1"/>
  <c r="F96" i="1"/>
  <c r="F97" i="1"/>
  <c r="G97" i="1" s="1"/>
  <c r="F98" i="1"/>
  <c r="G98" i="1" s="1"/>
  <c r="F99" i="1"/>
  <c r="G99" i="1" s="1"/>
  <c r="F100" i="1"/>
  <c r="G100" i="1" s="1"/>
  <c r="F101" i="1"/>
  <c r="F102" i="1"/>
  <c r="F103" i="1"/>
  <c r="F104" i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F112" i="1"/>
  <c r="F113" i="1"/>
  <c r="G113" i="1" s="1"/>
  <c r="F114" i="1"/>
  <c r="G114" i="1" s="1"/>
  <c r="F115" i="1"/>
  <c r="G115" i="1" s="1"/>
  <c r="F116" i="1"/>
  <c r="G116" i="1" s="1"/>
  <c r="F117" i="1"/>
  <c r="F118" i="1"/>
  <c r="F119" i="1"/>
  <c r="F120" i="1"/>
  <c r="F121" i="1"/>
  <c r="G121" i="1" s="1"/>
  <c r="F122" i="1"/>
  <c r="G122" i="1" s="1"/>
  <c r="F123" i="1"/>
  <c r="G123" i="1" s="1"/>
  <c r="F124" i="1"/>
  <c r="G124" i="1" s="1"/>
  <c r="F125" i="1"/>
  <c r="F126" i="1"/>
  <c r="F127" i="1"/>
  <c r="F128" i="1"/>
  <c r="F129" i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F136" i="1"/>
  <c r="F137" i="1"/>
  <c r="G137" i="1" s="1"/>
  <c r="F138" i="1"/>
  <c r="G138" i="1" s="1"/>
  <c r="F139" i="1"/>
  <c r="G139" i="1" s="1"/>
  <c r="F140" i="1"/>
  <c r="G140" i="1" s="1"/>
  <c r="F141" i="1"/>
  <c r="F142" i="1"/>
  <c r="F143" i="1"/>
  <c r="F144" i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F152" i="1"/>
  <c r="F153" i="1"/>
  <c r="G153" i="1" s="1"/>
  <c r="F154" i="1"/>
  <c r="G154" i="1" s="1"/>
  <c r="F155" i="1"/>
  <c r="G155" i="1" s="1"/>
  <c r="F156" i="1"/>
  <c r="G156" i="1" s="1"/>
  <c r="F157" i="1"/>
  <c r="F158" i="1"/>
  <c r="G158" i="1" s="1"/>
  <c r="F159" i="1"/>
  <c r="F160" i="1"/>
  <c r="F161" i="1"/>
  <c r="G161" i="1" s="1"/>
  <c r="F162" i="1"/>
  <c r="G162" i="1" s="1"/>
  <c r="F163" i="1"/>
  <c r="G163" i="1" s="1"/>
  <c r="F164" i="1"/>
  <c r="G164" i="1" s="1"/>
  <c r="F165" i="1"/>
  <c r="F166" i="1"/>
  <c r="F167" i="1"/>
  <c r="F168" i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F176" i="1"/>
  <c r="F177" i="1"/>
  <c r="G177" i="1" s="1"/>
  <c r="F178" i="1"/>
  <c r="G178" i="1" s="1"/>
  <c r="F179" i="1"/>
  <c r="G179" i="1" s="1"/>
  <c r="F180" i="1"/>
  <c r="F181" i="1"/>
  <c r="F182" i="1"/>
  <c r="G182" i="1" s="1"/>
  <c r="F183" i="1"/>
  <c r="F184" i="1"/>
  <c r="F185" i="1"/>
  <c r="G185" i="1" s="1"/>
  <c r="F186" i="1"/>
  <c r="G186" i="1" s="1"/>
  <c r="F187" i="1"/>
  <c r="G187" i="1" s="1"/>
  <c r="F188" i="1"/>
  <c r="F189" i="1"/>
  <c r="F190" i="1"/>
  <c r="F191" i="1"/>
  <c r="F192" i="1"/>
  <c r="F193" i="1"/>
  <c r="G193" i="1" s="1"/>
  <c r="F194" i="1"/>
  <c r="G194" i="1" s="1"/>
  <c r="F195" i="1"/>
  <c r="G195" i="1" s="1"/>
  <c r="F196" i="1"/>
  <c r="G196" i="1" s="1"/>
  <c r="F197" i="1"/>
  <c r="F198" i="1"/>
  <c r="F199" i="1"/>
  <c r="F200" i="1"/>
  <c r="F201" i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F208" i="1"/>
  <c r="F209" i="1"/>
  <c r="G209" i="1" s="1"/>
  <c r="F210" i="1"/>
  <c r="G210" i="1" s="1"/>
  <c r="F211" i="1"/>
  <c r="G211" i="1" s="1"/>
  <c r="F212" i="1"/>
  <c r="F213" i="1"/>
  <c r="F214" i="1"/>
  <c r="G214" i="1" s="1"/>
  <c r="F215" i="1"/>
  <c r="F216" i="1"/>
  <c r="F217" i="1"/>
  <c r="G217" i="1" s="1"/>
  <c r="F218" i="1"/>
  <c r="G218" i="1" s="1"/>
  <c r="F219" i="1"/>
  <c r="G219" i="1" s="1"/>
  <c r="F220" i="1"/>
  <c r="F221" i="1"/>
  <c r="F222" i="1"/>
  <c r="F223" i="1"/>
  <c r="F224" i="1"/>
  <c r="F225" i="1"/>
  <c r="G225" i="1" s="1"/>
  <c r="F226" i="1"/>
  <c r="G226" i="1" s="1"/>
  <c r="F227" i="1"/>
  <c r="G227" i="1" s="1"/>
  <c r="F228" i="1"/>
  <c r="G228" i="1" s="1"/>
  <c r="F229" i="1"/>
  <c r="F230" i="1"/>
  <c r="F231" i="1"/>
  <c r="F232" i="1"/>
  <c r="F233" i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F240" i="1"/>
  <c r="F241" i="1"/>
  <c r="G241" i="1" s="1"/>
  <c r="F242" i="1"/>
  <c r="G242" i="1" s="1"/>
  <c r="F243" i="1"/>
  <c r="G243" i="1" s="1"/>
  <c r="F244" i="1"/>
  <c r="F245" i="1"/>
  <c r="F246" i="1"/>
  <c r="G246" i="1" s="1"/>
  <c r="F247" i="1"/>
  <c r="F248" i="1"/>
  <c r="F249" i="1"/>
  <c r="G249" i="1" s="1"/>
  <c r="F250" i="1"/>
  <c r="G250" i="1" s="1"/>
  <c r="F251" i="1"/>
  <c r="G251" i="1" s="1"/>
  <c r="F252" i="1"/>
  <c r="F253" i="1"/>
  <c r="F254" i="1"/>
  <c r="F255" i="1"/>
  <c r="F256" i="1"/>
  <c r="F257" i="1"/>
  <c r="G257" i="1" s="1"/>
  <c r="F258" i="1"/>
  <c r="G258" i="1" s="1"/>
  <c r="F259" i="1"/>
  <c r="G259" i="1" s="1"/>
  <c r="F260" i="1"/>
  <c r="G260" i="1" s="1"/>
  <c r="F261" i="1"/>
  <c r="F262" i="1"/>
  <c r="F263" i="1"/>
  <c r="F264" i="1"/>
  <c r="F265" i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F272" i="1"/>
  <c r="F273" i="1"/>
  <c r="G273" i="1" s="1"/>
  <c r="F274" i="1"/>
  <c r="G274" i="1" s="1"/>
  <c r="F275" i="1"/>
  <c r="G275" i="1" s="1"/>
  <c r="F276" i="1"/>
  <c r="F277" i="1"/>
  <c r="F278" i="1"/>
  <c r="G278" i="1" s="1"/>
  <c r="F279" i="1"/>
  <c r="F280" i="1"/>
  <c r="F281" i="1"/>
  <c r="G281" i="1" s="1"/>
  <c r="F282" i="1"/>
  <c r="G282" i="1" s="1"/>
  <c r="F283" i="1"/>
  <c r="G283" i="1" s="1"/>
  <c r="F284" i="1"/>
  <c r="F285" i="1"/>
  <c r="F286" i="1"/>
  <c r="F287" i="1"/>
  <c r="F288" i="1"/>
  <c r="F289" i="1"/>
  <c r="G289" i="1" s="1"/>
  <c r="F290" i="1"/>
  <c r="G290" i="1" s="1"/>
  <c r="F291" i="1"/>
  <c r="G291" i="1" s="1"/>
  <c r="F292" i="1"/>
  <c r="G292" i="1" s="1"/>
  <c r="F293" i="1"/>
  <c r="F294" i="1"/>
  <c r="F295" i="1"/>
  <c r="F296" i="1"/>
  <c r="F297" i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F304" i="1"/>
  <c r="F305" i="1"/>
  <c r="G305" i="1" s="1"/>
  <c r="F306" i="1"/>
  <c r="G306" i="1" s="1"/>
  <c r="F307" i="1"/>
  <c r="G307" i="1" s="1"/>
  <c r="F308" i="1"/>
  <c r="F309" i="1"/>
  <c r="F310" i="1"/>
  <c r="G310" i="1" s="1"/>
  <c r="F311" i="1"/>
  <c r="F312" i="1"/>
  <c r="F313" i="1"/>
  <c r="G313" i="1" s="1"/>
  <c r="F314" i="1"/>
  <c r="G314" i="1" s="1"/>
  <c r="F315" i="1"/>
  <c r="G315" i="1" s="1"/>
  <c r="F316" i="1"/>
  <c r="F317" i="1"/>
  <c r="F318" i="1"/>
  <c r="F319" i="1"/>
  <c r="F320" i="1"/>
  <c r="F321" i="1"/>
  <c r="G321" i="1" s="1"/>
  <c r="F322" i="1"/>
  <c r="G322" i="1" s="1"/>
  <c r="F323" i="1"/>
  <c r="G323" i="1" s="1"/>
  <c r="F324" i="1"/>
  <c r="G324" i="1" s="1"/>
  <c r="F325" i="1"/>
  <c r="F326" i="1"/>
  <c r="F327" i="1"/>
  <c r="F328" i="1"/>
  <c r="F329" i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F336" i="1"/>
  <c r="F337" i="1"/>
  <c r="G337" i="1" s="1"/>
  <c r="F338" i="1"/>
  <c r="G338" i="1" s="1"/>
  <c r="F339" i="1"/>
  <c r="G339" i="1" s="1"/>
  <c r="F340" i="1"/>
  <c r="F341" i="1"/>
  <c r="F342" i="1"/>
  <c r="G342" i="1" s="1"/>
  <c r="F343" i="1"/>
  <c r="F344" i="1"/>
  <c r="F345" i="1"/>
  <c r="G345" i="1" s="1"/>
  <c r="F346" i="1"/>
  <c r="G346" i="1" s="1"/>
  <c r="F347" i="1"/>
  <c r="G347" i="1" s="1"/>
  <c r="F348" i="1"/>
  <c r="F349" i="1"/>
  <c r="F350" i="1"/>
  <c r="F351" i="1"/>
  <c r="F352" i="1"/>
  <c r="F353" i="1"/>
  <c r="G353" i="1" s="1"/>
  <c r="F354" i="1"/>
  <c r="G354" i="1" s="1"/>
  <c r="F355" i="1"/>
  <c r="G355" i="1" s="1"/>
  <c r="F356" i="1"/>
  <c r="G356" i="1" s="1"/>
  <c r="F357" i="1"/>
  <c r="F358" i="1"/>
  <c r="F359" i="1"/>
  <c r="F360" i="1"/>
  <c r="F361" i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F368" i="1"/>
  <c r="F369" i="1"/>
  <c r="G369" i="1" s="1"/>
  <c r="F370" i="1"/>
  <c r="G370" i="1" s="1"/>
  <c r="F371" i="1"/>
  <c r="G371" i="1" s="1"/>
  <c r="F372" i="1"/>
  <c r="F373" i="1"/>
  <c r="F374" i="1"/>
  <c r="G374" i="1" s="1"/>
  <c r="F375" i="1"/>
  <c r="F376" i="1"/>
  <c r="F377" i="1"/>
  <c r="G377" i="1" s="1"/>
  <c r="F378" i="1"/>
  <c r="G378" i="1" s="1"/>
  <c r="F379" i="1"/>
  <c r="G379" i="1" s="1"/>
  <c r="F380" i="1"/>
  <c r="F381" i="1"/>
  <c r="F382" i="1"/>
  <c r="F383" i="1"/>
  <c r="F384" i="1"/>
  <c r="F385" i="1"/>
  <c r="G385" i="1" s="1"/>
  <c r="F386" i="1"/>
  <c r="G386" i="1" s="1"/>
  <c r="F387" i="1"/>
  <c r="G387" i="1" s="1"/>
  <c r="F388" i="1"/>
  <c r="G388" i="1" s="1"/>
  <c r="F389" i="1"/>
  <c r="F390" i="1"/>
  <c r="F391" i="1"/>
  <c r="F392" i="1"/>
  <c r="F393" i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F401" i="1"/>
  <c r="G401" i="1" s="1"/>
  <c r="F402" i="1"/>
  <c r="G402" i="1" s="1"/>
  <c r="F403" i="1"/>
  <c r="G403" i="1" s="1"/>
  <c r="F404" i="1"/>
  <c r="F405" i="1"/>
  <c r="F406" i="1"/>
  <c r="G406" i="1" s="1"/>
  <c r="F407" i="1"/>
  <c r="G407" i="1" s="1"/>
  <c r="F408" i="1"/>
  <c r="F409" i="1"/>
  <c r="G409" i="1" s="1"/>
  <c r="F410" i="1"/>
  <c r="G410" i="1" s="1"/>
  <c r="F411" i="1"/>
  <c r="G411" i="1" s="1"/>
  <c r="F412" i="1"/>
  <c r="F413" i="1"/>
  <c r="F414" i="1"/>
  <c r="F415" i="1"/>
  <c r="F416" i="1"/>
  <c r="F417" i="1"/>
  <c r="G417" i="1" s="1"/>
  <c r="F418" i="1"/>
  <c r="G418" i="1" s="1"/>
  <c r="F419" i="1"/>
  <c r="G419" i="1" s="1"/>
  <c r="F420" i="1"/>
  <c r="G420" i="1" s="1"/>
  <c r="F421" i="1"/>
  <c r="F422" i="1"/>
  <c r="F423" i="1"/>
  <c r="F424" i="1"/>
  <c r="F425" i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F433" i="1"/>
  <c r="G433" i="1" s="1"/>
  <c r="F434" i="1"/>
  <c r="G434" i="1" s="1"/>
  <c r="F435" i="1"/>
  <c r="G435" i="1" s="1"/>
  <c r="F436" i="1"/>
  <c r="F437" i="1"/>
  <c r="F438" i="1"/>
  <c r="G438" i="1" s="1"/>
  <c r="F439" i="1"/>
  <c r="G439" i="1" s="1"/>
  <c r="F440" i="1"/>
  <c r="F441" i="1"/>
  <c r="G441" i="1" s="1"/>
  <c r="F442" i="1"/>
  <c r="G442" i="1" s="1"/>
  <c r="F443" i="1"/>
  <c r="G443" i="1" s="1"/>
  <c r="F444" i="1"/>
  <c r="F445" i="1"/>
  <c r="F446" i="1"/>
  <c r="F447" i="1"/>
  <c r="F448" i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F455" i="1"/>
  <c r="F456" i="1"/>
  <c r="F457" i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F465" i="1"/>
  <c r="G465" i="1" s="1"/>
  <c r="F466" i="1"/>
  <c r="G466" i="1" s="1"/>
  <c r="F467" i="1"/>
  <c r="G467" i="1" s="1"/>
  <c r="F468" i="1"/>
  <c r="F469" i="1"/>
  <c r="F470" i="1"/>
  <c r="G470" i="1" s="1"/>
  <c r="F471" i="1"/>
  <c r="G471" i="1" s="1"/>
  <c r="F472" i="1"/>
  <c r="F473" i="1"/>
  <c r="G473" i="1" s="1"/>
  <c r="F474" i="1"/>
  <c r="G474" i="1" s="1"/>
  <c r="F475" i="1"/>
  <c r="G475" i="1" s="1"/>
  <c r="F476" i="1"/>
  <c r="F477" i="1"/>
  <c r="F478" i="1"/>
  <c r="F479" i="1"/>
  <c r="F480" i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F487" i="1"/>
  <c r="F488" i="1"/>
  <c r="F489" i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F497" i="1"/>
  <c r="G497" i="1" s="1"/>
  <c r="F498" i="1"/>
  <c r="G498" i="1" s="1"/>
  <c r="F499" i="1"/>
  <c r="G499" i="1" s="1"/>
  <c r="F500" i="1"/>
  <c r="F501" i="1"/>
  <c r="F2" i="1"/>
  <c r="G2" i="1" s="1"/>
</calcChain>
</file>

<file path=xl/sharedStrings.xml><?xml version="1.0" encoding="utf-8"?>
<sst xmlns="http://schemas.openxmlformats.org/spreadsheetml/2006/main" count="1569" uniqueCount="208">
  <si>
    <t>Customer ID</t>
  </si>
  <si>
    <t>Transaction Date</t>
  </si>
  <si>
    <t>Transaction Amount</t>
  </si>
  <si>
    <t>Category</t>
  </si>
  <si>
    <t>Region</t>
  </si>
  <si>
    <t>CUST029</t>
  </si>
  <si>
    <t>Clothing</t>
  </si>
  <si>
    <t>East</t>
  </si>
  <si>
    <t>CUST007</t>
  </si>
  <si>
    <t>Books</t>
  </si>
  <si>
    <t>South</t>
  </si>
  <si>
    <t>CUST071</t>
  </si>
  <si>
    <t>Health</t>
  </si>
  <si>
    <t>North</t>
  </si>
  <si>
    <t>CUST063</t>
  </si>
  <si>
    <t>Home</t>
  </si>
  <si>
    <t>West</t>
  </si>
  <si>
    <t>CUST058</t>
  </si>
  <si>
    <t>CUST036</t>
  </si>
  <si>
    <t>CUST027</t>
  </si>
  <si>
    <t>CUST140</t>
  </si>
  <si>
    <t>Electronics</t>
  </si>
  <si>
    <t>CUST023</t>
  </si>
  <si>
    <t>CUST109</t>
  </si>
  <si>
    <t>CUST009</t>
  </si>
  <si>
    <t>CUST008</t>
  </si>
  <si>
    <t>CUST024</t>
  </si>
  <si>
    <t>CUST056</t>
  </si>
  <si>
    <t>CUST060</t>
  </si>
  <si>
    <t>CUST130</t>
  </si>
  <si>
    <t>CUST144</t>
  </si>
  <si>
    <t>CUST051</t>
  </si>
  <si>
    <t>CUST108</t>
  </si>
  <si>
    <t>CUST057</t>
  </si>
  <si>
    <t>CUST115</t>
  </si>
  <si>
    <t>CUST072</t>
  </si>
  <si>
    <t>CUST002</t>
  </si>
  <si>
    <t>CUST041</t>
  </si>
  <si>
    <t>CUST088</t>
  </si>
  <si>
    <t>CUST040</t>
  </si>
  <si>
    <t>CUST087</t>
  </si>
  <si>
    <t>CUST098</t>
  </si>
  <si>
    <t>CUST025</t>
  </si>
  <si>
    <t>CUST092</t>
  </si>
  <si>
    <t>CUST089</t>
  </si>
  <si>
    <t>CUST068</t>
  </si>
  <si>
    <t>CUST012</t>
  </si>
  <si>
    <t>CUST118</t>
  </si>
  <si>
    <t>CUST138</t>
  </si>
  <si>
    <t>CUST032</t>
  </si>
  <si>
    <t>CUST097</t>
  </si>
  <si>
    <t>CUST021</t>
  </si>
  <si>
    <t>CUST142</t>
  </si>
  <si>
    <t>CUST076</t>
  </si>
  <si>
    <t>CUST093</t>
  </si>
  <si>
    <t>CUST148</t>
  </si>
  <si>
    <t>CUST050</t>
  </si>
  <si>
    <t>CUST018</t>
  </si>
  <si>
    <t>CUST059</t>
  </si>
  <si>
    <t>CUST075</t>
  </si>
  <si>
    <t>CUST026</t>
  </si>
  <si>
    <t>CUST117</t>
  </si>
  <si>
    <t>CUST094</t>
  </si>
  <si>
    <t>CUST042</t>
  </si>
  <si>
    <t>CUST095</t>
  </si>
  <si>
    <t>CUST091</t>
  </si>
  <si>
    <t>CUST054</t>
  </si>
  <si>
    <t>CUST069</t>
  </si>
  <si>
    <t>CUST019</t>
  </si>
  <si>
    <t>CUST044</t>
  </si>
  <si>
    <t>CUST137</t>
  </si>
  <si>
    <t>CUST119</t>
  </si>
  <si>
    <t>CUST070</t>
  </si>
  <si>
    <t>CUST143</t>
  </si>
  <si>
    <t>CUST084</t>
  </si>
  <si>
    <t>CUST015</t>
  </si>
  <si>
    <t>CUST081</t>
  </si>
  <si>
    <t>CUST103</t>
  </si>
  <si>
    <t>CUST017</t>
  </si>
  <si>
    <t>CUST055</t>
  </si>
  <si>
    <t>CUST146</t>
  </si>
  <si>
    <t>CUST128</t>
  </si>
  <si>
    <t>CUST102</t>
  </si>
  <si>
    <t>CUST037</t>
  </si>
  <si>
    <t>CUST064</t>
  </si>
  <si>
    <t>CUST150</t>
  </si>
  <si>
    <t>CUST110</t>
  </si>
  <si>
    <t>CUST131</t>
  </si>
  <si>
    <t>CUST127</t>
  </si>
  <si>
    <t>CUST013</t>
  </si>
  <si>
    <t>CUST099</t>
  </si>
  <si>
    <t>CUST120</t>
  </si>
  <si>
    <t>CUST136</t>
  </si>
  <si>
    <t>CUST065</t>
  </si>
  <si>
    <t>CUST003</t>
  </si>
  <si>
    <t>CUST030</t>
  </si>
  <si>
    <t>CUST112</t>
  </si>
  <si>
    <t>CUST001</t>
  </si>
  <si>
    <t>CUST129</t>
  </si>
  <si>
    <t>CUST046</t>
  </si>
  <si>
    <t>CUST028</t>
  </si>
  <si>
    <t>CUST077</t>
  </si>
  <si>
    <t>CUST096</t>
  </si>
  <si>
    <t>CUST139</t>
  </si>
  <si>
    <t>CUST083</t>
  </si>
  <si>
    <t>CUST126</t>
  </si>
  <si>
    <t>CUST005</t>
  </si>
  <si>
    <t>CUST079</t>
  </si>
  <si>
    <t>CUST062</t>
  </si>
  <si>
    <t>CUST022</t>
  </si>
  <si>
    <t>CUST125</t>
  </si>
  <si>
    <t>CUST033</t>
  </si>
  <si>
    <t>CUST122</t>
  </si>
  <si>
    <t>CUST141</t>
  </si>
  <si>
    <t>CUST043</t>
  </si>
  <si>
    <t>CUST052</t>
  </si>
  <si>
    <t>CUST080</t>
  </si>
  <si>
    <t>CUST113</t>
  </si>
  <si>
    <t>CUST133</t>
  </si>
  <si>
    <t>CUST116</t>
  </si>
  <si>
    <t>CUST031</t>
  </si>
  <si>
    <t>CUST006</t>
  </si>
  <si>
    <t>CUST016</t>
  </si>
  <si>
    <t>CUST085</t>
  </si>
  <si>
    <t>CUST132</t>
  </si>
  <si>
    <t>CUST061</t>
  </si>
  <si>
    <t>CUST034</t>
  </si>
  <si>
    <t>CUST147</t>
  </si>
  <si>
    <t>CUST105</t>
  </si>
  <si>
    <t>CUST049</t>
  </si>
  <si>
    <t>CUST111</t>
  </si>
  <si>
    <t>CUST106</t>
  </si>
  <si>
    <t>CUST014</t>
  </si>
  <si>
    <t>CUST104</t>
  </si>
  <si>
    <t>CUST047</t>
  </si>
  <si>
    <t>CUST020</t>
  </si>
  <si>
    <t>CUST114</t>
  </si>
  <si>
    <t>CUST004</t>
  </si>
  <si>
    <t>CUST124</t>
  </si>
  <si>
    <t>CUST100</t>
  </si>
  <si>
    <t>CUST074</t>
  </si>
  <si>
    <t>CUST149</t>
  </si>
  <si>
    <t>CUST123</t>
  </si>
  <si>
    <t>CUST048</t>
  </si>
  <si>
    <t>CUST011</t>
  </si>
  <si>
    <t>CUST145</t>
  </si>
  <si>
    <t>CUST134</t>
  </si>
  <si>
    <t>CUST067</t>
  </si>
  <si>
    <t>CUST053</t>
  </si>
  <si>
    <t>CUST090</t>
  </si>
  <si>
    <t>CUST073</t>
  </si>
  <si>
    <t>CUST078</t>
  </si>
  <si>
    <t>CUST035</t>
  </si>
  <si>
    <t>CUST086</t>
  </si>
  <si>
    <t>CUST039</t>
  </si>
  <si>
    <t>CUST010</t>
  </si>
  <si>
    <t>CUST038</t>
  </si>
  <si>
    <t>CUST121</t>
  </si>
  <si>
    <t>CUST066</t>
  </si>
  <si>
    <t>CUST045</t>
  </si>
  <si>
    <t>CUST107</t>
  </si>
  <si>
    <t>Prior_Purchases</t>
  </si>
  <si>
    <t>Engagement_Tier</t>
  </si>
  <si>
    <t>Monthly Column</t>
  </si>
  <si>
    <t>Row Labels</t>
  </si>
  <si>
    <t>Active</t>
  </si>
  <si>
    <t>New</t>
  </si>
  <si>
    <t>Power User</t>
  </si>
  <si>
    <t>Grand Total</t>
  </si>
  <si>
    <t>Sum of Transaction Amount</t>
  </si>
  <si>
    <t>Apr 2022</t>
  </si>
  <si>
    <t>Apr 2023</t>
  </si>
  <si>
    <t>Apr 2024</t>
  </si>
  <si>
    <t>Aug 2022</t>
  </si>
  <si>
    <t>Aug 2023</t>
  </si>
  <si>
    <t>Aug 2024</t>
  </si>
  <si>
    <t>Dec 2022</t>
  </si>
  <si>
    <t>Dec 2023</t>
  </si>
  <si>
    <t>Dec 2024</t>
  </si>
  <si>
    <t>Feb 2022</t>
  </si>
  <si>
    <t>Feb 2023</t>
  </si>
  <si>
    <t>Feb 2024</t>
  </si>
  <si>
    <t>Jan 2022</t>
  </si>
  <si>
    <t>Jan 2023</t>
  </si>
  <si>
    <t>Jan 2024</t>
  </si>
  <si>
    <t>Jul 2022</t>
  </si>
  <si>
    <t>Jul 2023</t>
  </si>
  <si>
    <t>Jul 2024</t>
  </si>
  <si>
    <t>Jun 2022</t>
  </si>
  <si>
    <t>Jun 2023</t>
  </si>
  <si>
    <t>Jun 2024</t>
  </si>
  <si>
    <t>Mar 2022</t>
  </si>
  <si>
    <t>Mar 2023</t>
  </si>
  <si>
    <t>Mar 2024</t>
  </si>
  <si>
    <t>May 2022</t>
  </si>
  <si>
    <t>May 2023</t>
  </si>
  <si>
    <t>May 2024</t>
  </si>
  <si>
    <t>Nov 2022</t>
  </si>
  <si>
    <t>Nov 2023</t>
  </si>
  <si>
    <t>Nov 2024</t>
  </si>
  <si>
    <t>Oct 2022</t>
  </si>
  <si>
    <t>Oct 2023</t>
  </si>
  <si>
    <t>Oct 2024</t>
  </si>
  <si>
    <t>Sept 2022</t>
  </si>
  <si>
    <t>Sept 2023</t>
  </si>
  <si>
    <t>Sept 2024</t>
  </si>
  <si>
    <t>Column Labels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</si>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</sst>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[Ecom_Q4_Analysis.xlsx]Revenue by Engagement Tier!PivotTable1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'Revenue by Engagement Tier'!$B$3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'Revenue by Engagement Tier'!$A$4:$A$7</c:f>
              <c:strCache>
                <c:ptCount val="3"/>
                <c:pt idx="0">
                  <c:v>Active</c:v>
                </c:pt>
                <c:pt idx="1">
                  <c:v>New</c:v>
                </c:pt>
                <c:pt idx="2">
                  <c:v>Power User</c:v>
                </c:pt>
              </c:strCache>
            </c:strRef>
          </c:cat>
          <c:val>
            <c:numRef>
              <c:f>'Revenue by Engagement Tier'!$B$4:$B$7</c:f>
              <c:numCache>
                <c:formatCode>General</c:formatCode>
                <c:ptCount val="3"/>
                <c:pt idx="0">
                  <c:v>161816.89000000001</c:v>
                </c:pt>
                <c:pt idx="1">
                  <c:v>70954.359999999957</c:v>
                </c:pt>
                <c:pt idx="2">
                  <c:v>19016.86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4-42F8-AF19-F2DFAC5B2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[Ecom_Q4_Analysis.xlsx]Monthly Revenue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'Monthly Revenue by Region'!$B$3:$B$4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'Monthly Revenue by Region'!$A$5:$A$41</c:f>
              <c:strCache>
                <c:ptCount val="36"/>
                <c:pt idx="0">
                  <c:v>Apr 2022</c:v>
                </c:pt>
                <c:pt idx="1">
                  <c:v>Apr 2023</c:v>
                </c:pt>
                <c:pt idx="2">
                  <c:v>Apr 2024</c:v>
                </c:pt>
                <c:pt idx="3">
                  <c:v>Aug 2022</c:v>
                </c:pt>
                <c:pt idx="4">
                  <c:v>Aug 2023</c:v>
                </c:pt>
                <c:pt idx="5">
                  <c:v>Aug 2024</c:v>
                </c:pt>
                <c:pt idx="6">
                  <c:v>Dec 2022</c:v>
                </c:pt>
                <c:pt idx="7">
                  <c:v>Dec 2023</c:v>
                </c:pt>
                <c:pt idx="8">
                  <c:v>Dec 2024</c:v>
                </c:pt>
                <c:pt idx="9">
                  <c:v>Feb 2022</c:v>
                </c:pt>
                <c:pt idx="10">
                  <c:v>Feb 2023</c:v>
                </c:pt>
                <c:pt idx="11">
                  <c:v>Feb 2024</c:v>
                </c:pt>
                <c:pt idx="12">
                  <c:v>Jan 2022</c:v>
                </c:pt>
                <c:pt idx="13">
                  <c:v>Jan 2023</c:v>
                </c:pt>
                <c:pt idx="14">
                  <c:v>Jan 2024</c:v>
                </c:pt>
                <c:pt idx="15">
                  <c:v>Jul 2022</c:v>
                </c:pt>
                <c:pt idx="16">
                  <c:v>Jul 2023</c:v>
                </c:pt>
                <c:pt idx="17">
                  <c:v>Jul 2024</c:v>
                </c:pt>
                <c:pt idx="18">
                  <c:v>Jun 2022</c:v>
                </c:pt>
                <c:pt idx="19">
                  <c:v>Jun 2023</c:v>
                </c:pt>
                <c:pt idx="20">
                  <c:v>Jun 2024</c:v>
                </c:pt>
                <c:pt idx="21">
                  <c:v>Mar 2022</c:v>
                </c:pt>
                <c:pt idx="22">
                  <c:v>Mar 2023</c:v>
                </c:pt>
                <c:pt idx="23">
                  <c:v>Mar 2024</c:v>
                </c:pt>
                <c:pt idx="24">
                  <c:v>May 2022</c:v>
                </c:pt>
                <c:pt idx="25">
                  <c:v>May 2023</c:v>
                </c:pt>
                <c:pt idx="26">
                  <c:v>May 2024</c:v>
                </c:pt>
                <c:pt idx="27">
                  <c:v>Nov 2022</c:v>
                </c:pt>
                <c:pt idx="28">
                  <c:v>Nov 2023</c:v>
                </c:pt>
                <c:pt idx="29">
                  <c:v>Nov 2024</c:v>
                </c:pt>
                <c:pt idx="30">
                  <c:v>Oct 2022</c:v>
                </c:pt>
                <c:pt idx="31">
                  <c:v>Oct 2023</c:v>
                </c:pt>
                <c:pt idx="32">
                  <c:v>Oct 2024</c:v>
                </c:pt>
                <c:pt idx="33">
                  <c:v>Sept 2022</c:v>
                </c:pt>
                <c:pt idx="34">
                  <c:v>Sept 2023</c:v>
                </c:pt>
                <c:pt idx="35">
                  <c:v>Sept 2024</c:v>
                </c:pt>
              </c:strCache>
            </c:strRef>
          </c:cat>
          <c:val>
            <c:numRef>
              <c:f>'Monthly Revenue by Region'!$B$5:$B$41</c:f>
              <c:numCache>
                <c:formatCode>General</c:formatCode>
                <c:ptCount val="36"/>
                <c:pt idx="0">
                  <c:v>1147.75</c:v>
                </c:pt>
                <c:pt idx="1">
                  <c:v>3461.67</c:v>
                </c:pt>
                <c:pt idx="2">
                  <c:v>1981.08</c:v>
                </c:pt>
                <c:pt idx="3">
                  <c:v>1278.78</c:v>
                </c:pt>
                <c:pt idx="4">
                  <c:v>3316.12</c:v>
                </c:pt>
                <c:pt idx="5">
                  <c:v>1049.8</c:v>
                </c:pt>
                <c:pt idx="6">
                  <c:v>613.47</c:v>
                </c:pt>
                <c:pt idx="7">
                  <c:v>181.56</c:v>
                </c:pt>
                <c:pt idx="8">
                  <c:v>1352.46</c:v>
                </c:pt>
                <c:pt idx="9">
                  <c:v>1145.24</c:v>
                </c:pt>
                <c:pt idx="10">
                  <c:v>736.58</c:v>
                </c:pt>
                <c:pt idx="11">
                  <c:v>2531.83</c:v>
                </c:pt>
                <c:pt idx="12">
                  <c:v>1510.6399999999999</c:v>
                </c:pt>
                <c:pt idx="13">
                  <c:v>2262.42</c:v>
                </c:pt>
                <c:pt idx="14">
                  <c:v>870.85</c:v>
                </c:pt>
                <c:pt idx="15">
                  <c:v>990.72</c:v>
                </c:pt>
                <c:pt idx="16">
                  <c:v>4140.8900000000003</c:v>
                </c:pt>
                <c:pt idx="17">
                  <c:v>5183.49</c:v>
                </c:pt>
                <c:pt idx="18">
                  <c:v>1376.57</c:v>
                </c:pt>
                <c:pt idx="19">
                  <c:v>1469.97</c:v>
                </c:pt>
                <c:pt idx="20">
                  <c:v>4311.24</c:v>
                </c:pt>
                <c:pt idx="21">
                  <c:v>1560.87</c:v>
                </c:pt>
                <c:pt idx="22">
                  <c:v>1477.93</c:v>
                </c:pt>
                <c:pt idx="23">
                  <c:v>2158.77</c:v>
                </c:pt>
                <c:pt idx="24">
                  <c:v>2055.77</c:v>
                </c:pt>
                <c:pt idx="25">
                  <c:v>2341.6400000000003</c:v>
                </c:pt>
                <c:pt idx="26">
                  <c:v>1079.8400000000001</c:v>
                </c:pt>
                <c:pt idx="27">
                  <c:v>3266.62</c:v>
                </c:pt>
                <c:pt idx="28">
                  <c:v>2096.7399999999998</c:v>
                </c:pt>
                <c:pt idx="29">
                  <c:v>2760.0899999999997</c:v>
                </c:pt>
                <c:pt idx="30">
                  <c:v>1703.67</c:v>
                </c:pt>
                <c:pt idx="31">
                  <c:v>1320.04</c:v>
                </c:pt>
                <c:pt idx="32">
                  <c:v>4111.0200000000004</c:v>
                </c:pt>
                <c:pt idx="33">
                  <c:v>296.85000000000002</c:v>
                </c:pt>
                <c:pt idx="34">
                  <c:v>2267.62</c:v>
                </c:pt>
                <c:pt idx="35">
                  <c:v>3583.74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2-4AD8-BC13-7671C0BCE16C}"/>
            </c:ext>
          </c:extLst>
        </c:ser>
        <c:ser>
          <c:idx val="1"/>
          <c:order val="1"/>
          <c:tx>
            <c:strRef>
              <c:f>'Monthly Revenue by Region'!$C$3:$C$4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'Monthly Revenue by Region'!$A$5:$A$41</c:f>
              <c:strCache>
                <c:ptCount val="36"/>
                <c:pt idx="0">
                  <c:v>Apr 2022</c:v>
                </c:pt>
                <c:pt idx="1">
                  <c:v>Apr 2023</c:v>
                </c:pt>
                <c:pt idx="2">
                  <c:v>Apr 2024</c:v>
                </c:pt>
                <c:pt idx="3">
                  <c:v>Aug 2022</c:v>
                </c:pt>
                <c:pt idx="4">
                  <c:v>Aug 2023</c:v>
                </c:pt>
                <c:pt idx="5">
                  <c:v>Aug 2024</c:v>
                </c:pt>
                <c:pt idx="6">
                  <c:v>Dec 2022</c:v>
                </c:pt>
                <c:pt idx="7">
                  <c:v>Dec 2023</c:v>
                </c:pt>
                <c:pt idx="8">
                  <c:v>Dec 2024</c:v>
                </c:pt>
                <c:pt idx="9">
                  <c:v>Feb 2022</c:v>
                </c:pt>
                <c:pt idx="10">
                  <c:v>Feb 2023</c:v>
                </c:pt>
                <c:pt idx="11">
                  <c:v>Feb 2024</c:v>
                </c:pt>
                <c:pt idx="12">
                  <c:v>Jan 2022</c:v>
                </c:pt>
                <c:pt idx="13">
                  <c:v>Jan 2023</c:v>
                </c:pt>
                <c:pt idx="14">
                  <c:v>Jan 2024</c:v>
                </c:pt>
                <c:pt idx="15">
                  <c:v>Jul 2022</c:v>
                </c:pt>
                <c:pt idx="16">
                  <c:v>Jul 2023</c:v>
                </c:pt>
                <c:pt idx="17">
                  <c:v>Jul 2024</c:v>
                </c:pt>
                <c:pt idx="18">
                  <c:v>Jun 2022</c:v>
                </c:pt>
                <c:pt idx="19">
                  <c:v>Jun 2023</c:v>
                </c:pt>
                <c:pt idx="20">
                  <c:v>Jun 2024</c:v>
                </c:pt>
                <c:pt idx="21">
                  <c:v>Mar 2022</c:v>
                </c:pt>
                <c:pt idx="22">
                  <c:v>Mar 2023</c:v>
                </c:pt>
                <c:pt idx="23">
                  <c:v>Mar 2024</c:v>
                </c:pt>
                <c:pt idx="24">
                  <c:v>May 2022</c:v>
                </c:pt>
                <c:pt idx="25">
                  <c:v>May 2023</c:v>
                </c:pt>
                <c:pt idx="26">
                  <c:v>May 2024</c:v>
                </c:pt>
                <c:pt idx="27">
                  <c:v>Nov 2022</c:v>
                </c:pt>
                <c:pt idx="28">
                  <c:v>Nov 2023</c:v>
                </c:pt>
                <c:pt idx="29">
                  <c:v>Nov 2024</c:v>
                </c:pt>
                <c:pt idx="30">
                  <c:v>Oct 2022</c:v>
                </c:pt>
                <c:pt idx="31">
                  <c:v>Oct 2023</c:v>
                </c:pt>
                <c:pt idx="32">
                  <c:v>Oct 2024</c:v>
                </c:pt>
                <c:pt idx="33">
                  <c:v>Sept 2022</c:v>
                </c:pt>
                <c:pt idx="34">
                  <c:v>Sept 2023</c:v>
                </c:pt>
                <c:pt idx="35">
                  <c:v>Sept 2024</c:v>
                </c:pt>
              </c:strCache>
            </c:strRef>
          </c:cat>
          <c:val>
            <c:numRef>
              <c:f>'Monthly Revenue by Region'!$C$5:$C$41</c:f>
              <c:numCache>
                <c:formatCode>General</c:formatCode>
                <c:ptCount val="36"/>
                <c:pt idx="1">
                  <c:v>2440.79</c:v>
                </c:pt>
                <c:pt idx="2">
                  <c:v>2151.2800000000002</c:v>
                </c:pt>
                <c:pt idx="3">
                  <c:v>2109.9</c:v>
                </c:pt>
                <c:pt idx="4">
                  <c:v>1905.96</c:v>
                </c:pt>
                <c:pt idx="5">
                  <c:v>2175.1099999999997</c:v>
                </c:pt>
                <c:pt idx="6">
                  <c:v>415.35</c:v>
                </c:pt>
                <c:pt idx="7">
                  <c:v>811.47</c:v>
                </c:pt>
                <c:pt idx="8">
                  <c:v>2605.4300000000003</c:v>
                </c:pt>
                <c:pt idx="9">
                  <c:v>1047.1499999999999</c:v>
                </c:pt>
                <c:pt idx="10">
                  <c:v>540.41999999999996</c:v>
                </c:pt>
                <c:pt idx="11">
                  <c:v>561.70000000000005</c:v>
                </c:pt>
                <c:pt idx="12">
                  <c:v>899.09999999999991</c:v>
                </c:pt>
                <c:pt idx="13">
                  <c:v>1958.6999999999998</c:v>
                </c:pt>
                <c:pt idx="15">
                  <c:v>1476.03</c:v>
                </c:pt>
                <c:pt idx="16">
                  <c:v>3379.2200000000003</c:v>
                </c:pt>
                <c:pt idx="17">
                  <c:v>855.14</c:v>
                </c:pt>
                <c:pt idx="18">
                  <c:v>1881.08</c:v>
                </c:pt>
                <c:pt idx="19">
                  <c:v>1877.97</c:v>
                </c:pt>
                <c:pt idx="20">
                  <c:v>3624.73</c:v>
                </c:pt>
                <c:pt idx="21">
                  <c:v>596.49</c:v>
                </c:pt>
                <c:pt idx="22">
                  <c:v>575.49</c:v>
                </c:pt>
                <c:pt idx="23">
                  <c:v>619.69000000000005</c:v>
                </c:pt>
                <c:pt idx="24">
                  <c:v>2565.2999999999997</c:v>
                </c:pt>
                <c:pt idx="25">
                  <c:v>3297.79</c:v>
                </c:pt>
                <c:pt idx="26">
                  <c:v>2345.13</c:v>
                </c:pt>
                <c:pt idx="27">
                  <c:v>1955.35</c:v>
                </c:pt>
                <c:pt idx="28">
                  <c:v>3938.3599999999997</c:v>
                </c:pt>
                <c:pt idx="29">
                  <c:v>1093.0999999999999</c:v>
                </c:pt>
                <c:pt idx="30">
                  <c:v>2478.42</c:v>
                </c:pt>
                <c:pt idx="31">
                  <c:v>1309.24</c:v>
                </c:pt>
                <c:pt idx="32">
                  <c:v>532.41999999999996</c:v>
                </c:pt>
                <c:pt idx="33">
                  <c:v>1964.3999999999999</c:v>
                </c:pt>
                <c:pt idx="34">
                  <c:v>1328.24</c:v>
                </c:pt>
                <c:pt idx="35">
                  <c:v>755.84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2-4AD8-BC13-7671C0BCE16C}"/>
            </c:ext>
          </c:extLst>
        </c:ser>
        <c:ser>
          <c:idx val="2"/>
          <c:order val="2"/>
          <c:tx>
            <c:strRef>
              <c:f>'Monthly Revenue by Region'!$D$3:$D$4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'Monthly Revenue by Region'!$A$5:$A$41</c:f>
              <c:strCache>
                <c:ptCount val="36"/>
                <c:pt idx="0">
                  <c:v>Apr 2022</c:v>
                </c:pt>
                <c:pt idx="1">
                  <c:v>Apr 2023</c:v>
                </c:pt>
                <c:pt idx="2">
                  <c:v>Apr 2024</c:v>
                </c:pt>
                <c:pt idx="3">
                  <c:v>Aug 2022</c:v>
                </c:pt>
                <c:pt idx="4">
                  <c:v>Aug 2023</c:v>
                </c:pt>
                <c:pt idx="5">
                  <c:v>Aug 2024</c:v>
                </c:pt>
                <c:pt idx="6">
                  <c:v>Dec 2022</c:v>
                </c:pt>
                <c:pt idx="7">
                  <c:v>Dec 2023</c:v>
                </c:pt>
                <c:pt idx="8">
                  <c:v>Dec 2024</c:v>
                </c:pt>
                <c:pt idx="9">
                  <c:v>Feb 2022</c:v>
                </c:pt>
                <c:pt idx="10">
                  <c:v>Feb 2023</c:v>
                </c:pt>
                <c:pt idx="11">
                  <c:v>Feb 2024</c:v>
                </c:pt>
                <c:pt idx="12">
                  <c:v>Jan 2022</c:v>
                </c:pt>
                <c:pt idx="13">
                  <c:v>Jan 2023</c:v>
                </c:pt>
                <c:pt idx="14">
                  <c:v>Jan 2024</c:v>
                </c:pt>
                <c:pt idx="15">
                  <c:v>Jul 2022</c:v>
                </c:pt>
                <c:pt idx="16">
                  <c:v>Jul 2023</c:v>
                </c:pt>
                <c:pt idx="17">
                  <c:v>Jul 2024</c:v>
                </c:pt>
                <c:pt idx="18">
                  <c:v>Jun 2022</c:v>
                </c:pt>
                <c:pt idx="19">
                  <c:v>Jun 2023</c:v>
                </c:pt>
                <c:pt idx="20">
                  <c:v>Jun 2024</c:v>
                </c:pt>
                <c:pt idx="21">
                  <c:v>Mar 2022</c:v>
                </c:pt>
                <c:pt idx="22">
                  <c:v>Mar 2023</c:v>
                </c:pt>
                <c:pt idx="23">
                  <c:v>Mar 2024</c:v>
                </c:pt>
                <c:pt idx="24">
                  <c:v>May 2022</c:v>
                </c:pt>
                <c:pt idx="25">
                  <c:v>May 2023</c:v>
                </c:pt>
                <c:pt idx="26">
                  <c:v>May 2024</c:v>
                </c:pt>
                <c:pt idx="27">
                  <c:v>Nov 2022</c:v>
                </c:pt>
                <c:pt idx="28">
                  <c:v>Nov 2023</c:v>
                </c:pt>
                <c:pt idx="29">
                  <c:v>Nov 2024</c:v>
                </c:pt>
                <c:pt idx="30">
                  <c:v>Oct 2022</c:v>
                </c:pt>
                <c:pt idx="31">
                  <c:v>Oct 2023</c:v>
                </c:pt>
                <c:pt idx="32">
                  <c:v>Oct 2024</c:v>
                </c:pt>
                <c:pt idx="33">
                  <c:v>Sept 2022</c:v>
                </c:pt>
                <c:pt idx="34">
                  <c:v>Sept 2023</c:v>
                </c:pt>
                <c:pt idx="35">
                  <c:v>Sept 2024</c:v>
                </c:pt>
              </c:strCache>
            </c:strRef>
          </c:cat>
          <c:val>
            <c:numRef>
              <c:f>'Monthly Revenue by Region'!$D$5:$D$41</c:f>
              <c:numCache>
                <c:formatCode>General</c:formatCode>
                <c:ptCount val="36"/>
                <c:pt idx="0">
                  <c:v>1567.6299999999999</c:v>
                </c:pt>
                <c:pt idx="1">
                  <c:v>249.43</c:v>
                </c:pt>
                <c:pt idx="2">
                  <c:v>1414.15</c:v>
                </c:pt>
                <c:pt idx="3">
                  <c:v>1762.11</c:v>
                </c:pt>
                <c:pt idx="4">
                  <c:v>3736.7400000000002</c:v>
                </c:pt>
                <c:pt idx="5">
                  <c:v>3343.5299999999997</c:v>
                </c:pt>
                <c:pt idx="6">
                  <c:v>1639.18</c:v>
                </c:pt>
                <c:pt idx="7">
                  <c:v>1416.46</c:v>
                </c:pt>
                <c:pt idx="8">
                  <c:v>2914.92</c:v>
                </c:pt>
                <c:pt idx="9">
                  <c:v>1584.0199999999998</c:v>
                </c:pt>
                <c:pt idx="11">
                  <c:v>1452.51</c:v>
                </c:pt>
                <c:pt idx="12">
                  <c:v>2267.3000000000002</c:v>
                </c:pt>
                <c:pt idx="13">
                  <c:v>1049.8600000000001</c:v>
                </c:pt>
                <c:pt idx="14">
                  <c:v>984.20999999999992</c:v>
                </c:pt>
                <c:pt idx="15">
                  <c:v>2555.19</c:v>
                </c:pt>
                <c:pt idx="16">
                  <c:v>1338.4199999999998</c:v>
                </c:pt>
                <c:pt idx="17">
                  <c:v>1957.8000000000002</c:v>
                </c:pt>
                <c:pt idx="18">
                  <c:v>1168.73</c:v>
                </c:pt>
                <c:pt idx="19">
                  <c:v>1522.45</c:v>
                </c:pt>
                <c:pt idx="20">
                  <c:v>2215.5100000000002</c:v>
                </c:pt>
                <c:pt idx="21">
                  <c:v>2008.03</c:v>
                </c:pt>
                <c:pt idx="22">
                  <c:v>826.93999999999994</c:v>
                </c:pt>
                <c:pt idx="23">
                  <c:v>1309.01</c:v>
                </c:pt>
                <c:pt idx="24">
                  <c:v>1394.7</c:v>
                </c:pt>
                <c:pt idx="25">
                  <c:v>1350.3700000000001</c:v>
                </c:pt>
                <c:pt idx="26">
                  <c:v>1584.15</c:v>
                </c:pt>
                <c:pt idx="27">
                  <c:v>1173.3699999999999</c:v>
                </c:pt>
                <c:pt idx="28">
                  <c:v>2261.21</c:v>
                </c:pt>
                <c:pt idx="29">
                  <c:v>288.14999999999998</c:v>
                </c:pt>
                <c:pt idx="30">
                  <c:v>1442.71</c:v>
                </c:pt>
                <c:pt idx="31">
                  <c:v>2331.37</c:v>
                </c:pt>
                <c:pt idx="32">
                  <c:v>1839.52</c:v>
                </c:pt>
                <c:pt idx="33">
                  <c:v>962.77</c:v>
                </c:pt>
                <c:pt idx="34">
                  <c:v>3262.2900000000004</c:v>
                </c:pt>
                <c:pt idx="35">
                  <c:v>2336.88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2-4AD8-BC13-7671C0BCE16C}"/>
            </c:ext>
          </c:extLst>
        </c:ser>
        <c:ser>
          <c:idx val="3"/>
          <c:order val="3"/>
          <c:tx>
            <c:strRef>
              <c:f>'Monthly Revenue by Region'!$E$3:$E$4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'Monthly Revenue by Region'!$A$5:$A$41</c:f>
              <c:strCache>
                <c:ptCount val="36"/>
                <c:pt idx="0">
                  <c:v>Apr 2022</c:v>
                </c:pt>
                <c:pt idx="1">
                  <c:v>Apr 2023</c:v>
                </c:pt>
                <c:pt idx="2">
                  <c:v>Apr 2024</c:v>
                </c:pt>
                <c:pt idx="3">
                  <c:v>Aug 2022</c:v>
                </c:pt>
                <c:pt idx="4">
                  <c:v>Aug 2023</c:v>
                </c:pt>
                <c:pt idx="5">
                  <c:v>Aug 2024</c:v>
                </c:pt>
                <c:pt idx="6">
                  <c:v>Dec 2022</c:v>
                </c:pt>
                <c:pt idx="7">
                  <c:v>Dec 2023</c:v>
                </c:pt>
                <c:pt idx="8">
                  <c:v>Dec 2024</c:v>
                </c:pt>
                <c:pt idx="9">
                  <c:v>Feb 2022</c:v>
                </c:pt>
                <c:pt idx="10">
                  <c:v>Feb 2023</c:v>
                </c:pt>
                <c:pt idx="11">
                  <c:v>Feb 2024</c:v>
                </c:pt>
                <c:pt idx="12">
                  <c:v>Jan 2022</c:v>
                </c:pt>
                <c:pt idx="13">
                  <c:v>Jan 2023</c:v>
                </c:pt>
                <c:pt idx="14">
                  <c:v>Jan 2024</c:v>
                </c:pt>
                <c:pt idx="15">
                  <c:v>Jul 2022</c:v>
                </c:pt>
                <c:pt idx="16">
                  <c:v>Jul 2023</c:v>
                </c:pt>
                <c:pt idx="17">
                  <c:v>Jul 2024</c:v>
                </c:pt>
                <c:pt idx="18">
                  <c:v>Jun 2022</c:v>
                </c:pt>
                <c:pt idx="19">
                  <c:v>Jun 2023</c:v>
                </c:pt>
                <c:pt idx="20">
                  <c:v>Jun 2024</c:v>
                </c:pt>
                <c:pt idx="21">
                  <c:v>Mar 2022</c:v>
                </c:pt>
                <c:pt idx="22">
                  <c:v>Mar 2023</c:v>
                </c:pt>
                <c:pt idx="23">
                  <c:v>Mar 2024</c:v>
                </c:pt>
                <c:pt idx="24">
                  <c:v>May 2022</c:v>
                </c:pt>
                <c:pt idx="25">
                  <c:v>May 2023</c:v>
                </c:pt>
                <c:pt idx="26">
                  <c:v>May 2024</c:v>
                </c:pt>
                <c:pt idx="27">
                  <c:v>Nov 2022</c:v>
                </c:pt>
                <c:pt idx="28">
                  <c:v>Nov 2023</c:v>
                </c:pt>
                <c:pt idx="29">
                  <c:v>Nov 2024</c:v>
                </c:pt>
                <c:pt idx="30">
                  <c:v>Oct 2022</c:v>
                </c:pt>
                <c:pt idx="31">
                  <c:v>Oct 2023</c:v>
                </c:pt>
                <c:pt idx="32">
                  <c:v>Oct 2024</c:v>
                </c:pt>
                <c:pt idx="33">
                  <c:v>Sept 2022</c:v>
                </c:pt>
                <c:pt idx="34">
                  <c:v>Sept 2023</c:v>
                </c:pt>
                <c:pt idx="35">
                  <c:v>Sept 2024</c:v>
                </c:pt>
              </c:strCache>
            </c:strRef>
          </c:cat>
          <c:val>
            <c:numRef>
              <c:f>'Monthly Revenue by Region'!$E$5:$E$41</c:f>
              <c:numCache>
                <c:formatCode>General</c:formatCode>
                <c:ptCount val="36"/>
                <c:pt idx="0">
                  <c:v>2163.75</c:v>
                </c:pt>
                <c:pt idx="1">
                  <c:v>2097.58</c:v>
                </c:pt>
                <c:pt idx="2">
                  <c:v>2975.49</c:v>
                </c:pt>
                <c:pt idx="3">
                  <c:v>1414.44</c:v>
                </c:pt>
                <c:pt idx="4">
                  <c:v>723.04</c:v>
                </c:pt>
                <c:pt idx="5">
                  <c:v>5108.3700000000008</c:v>
                </c:pt>
                <c:pt idx="6">
                  <c:v>2226.87</c:v>
                </c:pt>
                <c:pt idx="7">
                  <c:v>2080.9499999999998</c:v>
                </c:pt>
                <c:pt idx="9">
                  <c:v>970.21</c:v>
                </c:pt>
                <c:pt idx="10">
                  <c:v>1409.54</c:v>
                </c:pt>
                <c:pt idx="11">
                  <c:v>982.42000000000007</c:v>
                </c:pt>
                <c:pt idx="12">
                  <c:v>602.66999999999996</c:v>
                </c:pt>
                <c:pt idx="13">
                  <c:v>1480.35</c:v>
                </c:pt>
                <c:pt idx="14">
                  <c:v>1982.97</c:v>
                </c:pt>
                <c:pt idx="15">
                  <c:v>1050.1799999999998</c:v>
                </c:pt>
                <c:pt idx="16">
                  <c:v>2751.23</c:v>
                </c:pt>
                <c:pt idx="17">
                  <c:v>1969.81</c:v>
                </c:pt>
                <c:pt idx="18">
                  <c:v>2705.5199999999995</c:v>
                </c:pt>
                <c:pt idx="19">
                  <c:v>2214.79</c:v>
                </c:pt>
                <c:pt idx="20">
                  <c:v>2021.37</c:v>
                </c:pt>
                <c:pt idx="21">
                  <c:v>1914.68</c:v>
                </c:pt>
                <c:pt idx="22">
                  <c:v>2174.7799999999997</c:v>
                </c:pt>
                <c:pt idx="23">
                  <c:v>435.72</c:v>
                </c:pt>
                <c:pt idx="24">
                  <c:v>777.38</c:v>
                </c:pt>
                <c:pt idx="25">
                  <c:v>3158.2</c:v>
                </c:pt>
                <c:pt idx="26">
                  <c:v>1275.52</c:v>
                </c:pt>
                <c:pt idx="27">
                  <c:v>1457.61</c:v>
                </c:pt>
                <c:pt idx="28">
                  <c:v>365.79</c:v>
                </c:pt>
                <c:pt idx="29">
                  <c:v>643.46</c:v>
                </c:pt>
                <c:pt idx="30">
                  <c:v>872.75</c:v>
                </c:pt>
                <c:pt idx="32">
                  <c:v>1329.49</c:v>
                </c:pt>
                <c:pt idx="33">
                  <c:v>1420.58</c:v>
                </c:pt>
                <c:pt idx="34">
                  <c:v>3834.72</c:v>
                </c:pt>
                <c:pt idx="35">
                  <c:v>1618.13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82-4AD8-BC13-7671C0BCE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965664"/>
        <c:axId val="678980544"/>
        <c:axId val="386000624"/>
      </c:line3DChart>
      <c:catAx>
        <c:axId val="67896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980544"/>
        <c:crosses val="autoZero"/>
        <c:auto val="1"/>
        <c:lblAlgn val="ctr"/>
        <c:lblOffset val="100"/>
        <c:noMultiLvlLbl val="0"/>
      </c:catAx>
      <c:valAx>
        <c:axId val="6789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965664"/>
        <c:crosses val="autoZero"/>
        <c:crossBetween val="between"/>
      </c:valAx>
      <c:serAx>
        <c:axId val="3860006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98054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[Ecom_Q4_Analysis.xlsx]Monthly Revenue by Region!PivotTable2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'Monthly Revenue by Region'!$B$3:$B$4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'Monthly Revenue by Region'!$A$5:$A$41</c:f>
              <c:strCache>
                <c:ptCount val="36"/>
                <c:pt idx="0">
                  <c:v>Apr 2022</c:v>
                </c:pt>
                <c:pt idx="1">
                  <c:v>Apr 2023</c:v>
                </c:pt>
                <c:pt idx="2">
                  <c:v>Apr 2024</c:v>
                </c:pt>
                <c:pt idx="3">
                  <c:v>Aug 2022</c:v>
                </c:pt>
                <c:pt idx="4">
                  <c:v>Aug 2023</c:v>
                </c:pt>
                <c:pt idx="5">
                  <c:v>Aug 2024</c:v>
                </c:pt>
                <c:pt idx="6">
                  <c:v>Dec 2022</c:v>
                </c:pt>
                <c:pt idx="7">
                  <c:v>Dec 2023</c:v>
                </c:pt>
                <c:pt idx="8">
                  <c:v>Dec 2024</c:v>
                </c:pt>
                <c:pt idx="9">
                  <c:v>Feb 2022</c:v>
                </c:pt>
                <c:pt idx="10">
                  <c:v>Feb 2023</c:v>
                </c:pt>
                <c:pt idx="11">
                  <c:v>Feb 2024</c:v>
                </c:pt>
                <c:pt idx="12">
                  <c:v>Jan 2022</c:v>
                </c:pt>
                <c:pt idx="13">
                  <c:v>Jan 2023</c:v>
                </c:pt>
                <c:pt idx="14">
                  <c:v>Jan 2024</c:v>
                </c:pt>
                <c:pt idx="15">
                  <c:v>Jul 2022</c:v>
                </c:pt>
                <c:pt idx="16">
                  <c:v>Jul 2023</c:v>
                </c:pt>
                <c:pt idx="17">
                  <c:v>Jul 2024</c:v>
                </c:pt>
                <c:pt idx="18">
                  <c:v>Jun 2022</c:v>
                </c:pt>
                <c:pt idx="19">
                  <c:v>Jun 2023</c:v>
                </c:pt>
                <c:pt idx="20">
                  <c:v>Jun 2024</c:v>
                </c:pt>
                <c:pt idx="21">
                  <c:v>Mar 2022</c:v>
                </c:pt>
                <c:pt idx="22">
                  <c:v>Mar 2023</c:v>
                </c:pt>
                <c:pt idx="23">
                  <c:v>Mar 2024</c:v>
                </c:pt>
                <c:pt idx="24">
                  <c:v>May 2022</c:v>
                </c:pt>
                <c:pt idx="25">
                  <c:v>May 2023</c:v>
                </c:pt>
                <c:pt idx="26">
                  <c:v>May 2024</c:v>
                </c:pt>
                <c:pt idx="27">
                  <c:v>Nov 2022</c:v>
                </c:pt>
                <c:pt idx="28">
                  <c:v>Nov 2023</c:v>
                </c:pt>
                <c:pt idx="29">
                  <c:v>Nov 2024</c:v>
                </c:pt>
                <c:pt idx="30">
                  <c:v>Oct 2022</c:v>
                </c:pt>
                <c:pt idx="31">
                  <c:v>Oct 2023</c:v>
                </c:pt>
                <c:pt idx="32">
                  <c:v>Oct 2024</c:v>
                </c:pt>
                <c:pt idx="33">
                  <c:v>Sept 2022</c:v>
                </c:pt>
                <c:pt idx="34">
                  <c:v>Sept 2023</c:v>
                </c:pt>
                <c:pt idx="35">
                  <c:v>Sept 2024</c:v>
                </c:pt>
              </c:strCache>
            </c:strRef>
          </c:cat>
          <c:val>
            <c:numRef>
              <c:f>'Monthly Revenue by Region'!$B$5:$B$41</c:f>
              <c:numCache>
                <c:formatCode>General</c:formatCode>
                <c:ptCount val="36"/>
                <c:pt idx="0">
                  <c:v>1147.75</c:v>
                </c:pt>
                <c:pt idx="1">
                  <c:v>3461.67</c:v>
                </c:pt>
                <c:pt idx="2">
                  <c:v>1981.08</c:v>
                </c:pt>
                <c:pt idx="3">
                  <c:v>1278.78</c:v>
                </c:pt>
                <c:pt idx="4">
                  <c:v>3316.12</c:v>
                </c:pt>
                <c:pt idx="5">
                  <c:v>1049.8</c:v>
                </c:pt>
                <c:pt idx="6">
                  <c:v>613.47</c:v>
                </c:pt>
                <c:pt idx="7">
                  <c:v>181.56</c:v>
                </c:pt>
                <c:pt idx="8">
                  <c:v>1352.46</c:v>
                </c:pt>
                <c:pt idx="9">
                  <c:v>1145.24</c:v>
                </c:pt>
                <c:pt idx="10">
                  <c:v>736.58</c:v>
                </c:pt>
                <c:pt idx="11">
                  <c:v>2531.83</c:v>
                </c:pt>
                <c:pt idx="12">
                  <c:v>1510.6399999999999</c:v>
                </c:pt>
                <c:pt idx="13">
                  <c:v>2262.42</c:v>
                </c:pt>
                <c:pt idx="14">
                  <c:v>870.85</c:v>
                </c:pt>
                <c:pt idx="15">
                  <c:v>990.72</c:v>
                </c:pt>
                <c:pt idx="16">
                  <c:v>4140.8900000000003</c:v>
                </c:pt>
                <c:pt idx="17">
                  <c:v>5183.49</c:v>
                </c:pt>
                <c:pt idx="18">
                  <c:v>1376.57</c:v>
                </c:pt>
                <c:pt idx="19">
                  <c:v>1469.97</c:v>
                </c:pt>
                <c:pt idx="20">
                  <c:v>4311.24</c:v>
                </c:pt>
                <c:pt idx="21">
                  <c:v>1560.87</c:v>
                </c:pt>
                <c:pt idx="22">
                  <c:v>1477.93</c:v>
                </c:pt>
                <c:pt idx="23">
                  <c:v>2158.77</c:v>
                </c:pt>
                <c:pt idx="24">
                  <c:v>2055.77</c:v>
                </c:pt>
                <c:pt idx="25">
                  <c:v>2341.6400000000003</c:v>
                </c:pt>
                <c:pt idx="26">
                  <c:v>1079.8400000000001</c:v>
                </c:pt>
                <c:pt idx="27">
                  <c:v>3266.62</c:v>
                </c:pt>
                <c:pt idx="28">
                  <c:v>2096.7399999999998</c:v>
                </c:pt>
                <c:pt idx="29">
                  <c:v>2760.0899999999997</c:v>
                </c:pt>
                <c:pt idx="30">
                  <c:v>1703.67</c:v>
                </c:pt>
                <c:pt idx="31">
                  <c:v>1320.04</c:v>
                </c:pt>
                <c:pt idx="32">
                  <c:v>4111.0200000000004</c:v>
                </c:pt>
                <c:pt idx="33">
                  <c:v>296.85000000000002</c:v>
                </c:pt>
                <c:pt idx="34">
                  <c:v>2267.62</c:v>
                </c:pt>
                <c:pt idx="35">
                  <c:v>3583.74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3-44F3-8873-C5ABFB47B210}"/>
            </c:ext>
          </c:extLst>
        </c:ser>
        <c:ser>
          <c:idx val="1"/>
          <c:order val="1"/>
          <c:tx>
            <c:strRef>
              <c:f>'Monthly Revenue by Region'!$C$3:$C$4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'Monthly Revenue by Region'!$A$5:$A$41</c:f>
              <c:strCache>
                <c:ptCount val="36"/>
                <c:pt idx="0">
                  <c:v>Apr 2022</c:v>
                </c:pt>
                <c:pt idx="1">
                  <c:v>Apr 2023</c:v>
                </c:pt>
                <c:pt idx="2">
                  <c:v>Apr 2024</c:v>
                </c:pt>
                <c:pt idx="3">
                  <c:v>Aug 2022</c:v>
                </c:pt>
                <c:pt idx="4">
                  <c:v>Aug 2023</c:v>
                </c:pt>
                <c:pt idx="5">
                  <c:v>Aug 2024</c:v>
                </c:pt>
                <c:pt idx="6">
                  <c:v>Dec 2022</c:v>
                </c:pt>
                <c:pt idx="7">
                  <c:v>Dec 2023</c:v>
                </c:pt>
                <c:pt idx="8">
                  <c:v>Dec 2024</c:v>
                </c:pt>
                <c:pt idx="9">
                  <c:v>Feb 2022</c:v>
                </c:pt>
                <c:pt idx="10">
                  <c:v>Feb 2023</c:v>
                </c:pt>
                <c:pt idx="11">
                  <c:v>Feb 2024</c:v>
                </c:pt>
                <c:pt idx="12">
                  <c:v>Jan 2022</c:v>
                </c:pt>
                <c:pt idx="13">
                  <c:v>Jan 2023</c:v>
                </c:pt>
                <c:pt idx="14">
                  <c:v>Jan 2024</c:v>
                </c:pt>
                <c:pt idx="15">
                  <c:v>Jul 2022</c:v>
                </c:pt>
                <c:pt idx="16">
                  <c:v>Jul 2023</c:v>
                </c:pt>
                <c:pt idx="17">
                  <c:v>Jul 2024</c:v>
                </c:pt>
                <c:pt idx="18">
                  <c:v>Jun 2022</c:v>
                </c:pt>
                <c:pt idx="19">
                  <c:v>Jun 2023</c:v>
                </c:pt>
                <c:pt idx="20">
                  <c:v>Jun 2024</c:v>
                </c:pt>
                <c:pt idx="21">
                  <c:v>Mar 2022</c:v>
                </c:pt>
                <c:pt idx="22">
                  <c:v>Mar 2023</c:v>
                </c:pt>
                <c:pt idx="23">
                  <c:v>Mar 2024</c:v>
                </c:pt>
                <c:pt idx="24">
                  <c:v>May 2022</c:v>
                </c:pt>
                <c:pt idx="25">
                  <c:v>May 2023</c:v>
                </c:pt>
                <c:pt idx="26">
                  <c:v>May 2024</c:v>
                </c:pt>
                <c:pt idx="27">
                  <c:v>Nov 2022</c:v>
                </c:pt>
                <c:pt idx="28">
                  <c:v>Nov 2023</c:v>
                </c:pt>
                <c:pt idx="29">
                  <c:v>Nov 2024</c:v>
                </c:pt>
                <c:pt idx="30">
                  <c:v>Oct 2022</c:v>
                </c:pt>
                <c:pt idx="31">
                  <c:v>Oct 2023</c:v>
                </c:pt>
                <c:pt idx="32">
                  <c:v>Oct 2024</c:v>
                </c:pt>
                <c:pt idx="33">
                  <c:v>Sept 2022</c:v>
                </c:pt>
                <c:pt idx="34">
                  <c:v>Sept 2023</c:v>
                </c:pt>
                <c:pt idx="35">
                  <c:v>Sept 2024</c:v>
                </c:pt>
              </c:strCache>
            </c:strRef>
          </c:cat>
          <c:val>
            <c:numRef>
              <c:f>'Monthly Revenue by Region'!$C$5:$C$41</c:f>
              <c:numCache>
                <c:formatCode>General</c:formatCode>
                <c:ptCount val="36"/>
                <c:pt idx="1">
                  <c:v>2440.79</c:v>
                </c:pt>
                <c:pt idx="2">
                  <c:v>2151.2800000000002</c:v>
                </c:pt>
                <c:pt idx="3">
                  <c:v>2109.9</c:v>
                </c:pt>
                <c:pt idx="4">
                  <c:v>1905.96</c:v>
                </c:pt>
                <c:pt idx="5">
                  <c:v>2175.1099999999997</c:v>
                </c:pt>
                <c:pt idx="6">
                  <c:v>415.35</c:v>
                </c:pt>
                <c:pt idx="7">
                  <c:v>811.47</c:v>
                </c:pt>
                <c:pt idx="8">
                  <c:v>2605.4300000000003</c:v>
                </c:pt>
                <c:pt idx="9">
                  <c:v>1047.1499999999999</c:v>
                </c:pt>
                <c:pt idx="10">
                  <c:v>540.41999999999996</c:v>
                </c:pt>
                <c:pt idx="11">
                  <c:v>561.70000000000005</c:v>
                </c:pt>
                <c:pt idx="12">
                  <c:v>899.09999999999991</c:v>
                </c:pt>
                <c:pt idx="13">
                  <c:v>1958.6999999999998</c:v>
                </c:pt>
                <c:pt idx="15">
                  <c:v>1476.03</c:v>
                </c:pt>
                <c:pt idx="16">
                  <c:v>3379.2200000000003</c:v>
                </c:pt>
                <c:pt idx="17">
                  <c:v>855.14</c:v>
                </c:pt>
                <c:pt idx="18">
                  <c:v>1881.08</c:v>
                </c:pt>
                <c:pt idx="19">
                  <c:v>1877.97</c:v>
                </c:pt>
                <c:pt idx="20">
                  <c:v>3624.73</c:v>
                </c:pt>
                <c:pt idx="21">
                  <c:v>596.49</c:v>
                </c:pt>
                <c:pt idx="22">
                  <c:v>575.49</c:v>
                </c:pt>
                <c:pt idx="23">
                  <c:v>619.69000000000005</c:v>
                </c:pt>
                <c:pt idx="24">
                  <c:v>2565.2999999999997</c:v>
                </c:pt>
                <c:pt idx="25">
                  <c:v>3297.79</c:v>
                </c:pt>
                <c:pt idx="26">
                  <c:v>2345.13</c:v>
                </c:pt>
                <c:pt idx="27">
                  <c:v>1955.35</c:v>
                </c:pt>
                <c:pt idx="28">
                  <c:v>3938.3599999999997</c:v>
                </c:pt>
                <c:pt idx="29">
                  <c:v>1093.0999999999999</c:v>
                </c:pt>
                <c:pt idx="30">
                  <c:v>2478.42</c:v>
                </c:pt>
                <c:pt idx="31">
                  <c:v>1309.24</c:v>
                </c:pt>
                <c:pt idx="32">
                  <c:v>532.41999999999996</c:v>
                </c:pt>
                <c:pt idx="33">
                  <c:v>1964.3999999999999</c:v>
                </c:pt>
                <c:pt idx="34">
                  <c:v>1328.24</c:v>
                </c:pt>
                <c:pt idx="35">
                  <c:v>755.84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33-44F3-8873-C5ABFB47B210}"/>
            </c:ext>
          </c:extLst>
        </c:ser>
        <c:ser>
          <c:idx val="2"/>
          <c:order val="2"/>
          <c:tx>
            <c:strRef>
              <c:f>'Monthly Revenue by Region'!$D$3:$D$4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'Monthly Revenue by Region'!$A$5:$A$41</c:f>
              <c:strCache>
                <c:ptCount val="36"/>
                <c:pt idx="0">
                  <c:v>Apr 2022</c:v>
                </c:pt>
                <c:pt idx="1">
                  <c:v>Apr 2023</c:v>
                </c:pt>
                <c:pt idx="2">
                  <c:v>Apr 2024</c:v>
                </c:pt>
                <c:pt idx="3">
                  <c:v>Aug 2022</c:v>
                </c:pt>
                <c:pt idx="4">
                  <c:v>Aug 2023</c:v>
                </c:pt>
                <c:pt idx="5">
                  <c:v>Aug 2024</c:v>
                </c:pt>
                <c:pt idx="6">
                  <c:v>Dec 2022</c:v>
                </c:pt>
                <c:pt idx="7">
                  <c:v>Dec 2023</c:v>
                </c:pt>
                <c:pt idx="8">
                  <c:v>Dec 2024</c:v>
                </c:pt>
                <c:pt idx="9">
                  <c:v>Feb 2022</c:v>
                </c:pt>
                <c:pt idx="10">
                  <c:v>Feb 2023</c:v>
                </c:pt>
                <c:pt idx="11">
                  <c:v>Feb 2024</c:v>
                </c:pt>
                <c:pt idx="12">
                  <c:v>Jan 2022</c:v>
                </c:pt>
                <c:pt idx="13">
                  <c:v>Jan 2023</c:v>
                </c:pt>
                <c:pt idx="14">
                  <c:v>Jan 2024</c:v>
                </c:pt>
                <c:pt idx="15">
                  <c:v>Jul 2022</c:v>
                </c:pt>
                <c:pt idx="16">
                  <c:v>Jul 2023</c:v>
                </c:pt>
                <c:pt idx="17">
                  <c:v>Jul 2024</c:v>
                </c:pt>
                <c:pt idx="18">
                  <c:v>Jun 2022</c:v>
                </c:pt>
                <c:pt idx="19">
                  <c:v>Jun 2023</c:v>
                </c:pt>
                <c:pt idx="20">
                  <c:v>Jun 2024</c:v>
                </c:pt>
                <c:pt idx="21">
                  <c:v>Mar 2022</c:v>
                </c:pt>
                <c:pt idx="22">
                  <c:v>Mar 2023</c:v>
                </c:pt>
                <c:pt idx="23">
                  <c:v>Mar 2024</c:v>
                </c:pt>
                <c:pt idx="24">
                  <c:v>May 2022</c:v>
                </c:pt>
                <c:pt idx="25">
                  <c:v>May 2023</c:v>
                </c:pt>
                <c:pt idx="26">
                  <c:v>May 2024</c:v>
                </c:pt>
                <c:pt idx="27">
                  <c:v>Nov 2022</c:v>
                </c:pt>
                <c:pt idx="28">
                  <c:v>Nov 2023</c:v>
                </c:pt>
                <c:pt idx="29">
                  <c:v>Nov 2024</c:v>
                </c:pt>
                <c:pt idx="30">
                  <c:v>Oct 2022</c:v>
                </c:pt>
                <c:pt idx="31">
                  <c:v>Oct 2023</c:v>
                </c:pt>
                <c:pt idx="32">
                  <c:v>Oct 2024</c:v>
                </c:pt>
                <c:pt idx="33">
                  <c:v>Sept 2022</c:v>
                </c:pt>
                <c:pt idx="34">
                  <c:v>Sept 2023</c:v>
                </c:pt>
                <c:pt idx="35">
                  <c:v>Sept 2024</c:v>
                </c:pt>
              </c:strCache>
            </c:strRef>
          </c:cat>
          <c:val>
            <c:numRef>
              <c:f>'Monthly Revenue by Region'!$D$5:$D$41</c:f>
              <c:numCache>
                <c:formatCode>General</c:formatCode>
                <c:ptCount val="36"/>
                <c:pt idx="0">
                  <c:v>1567.6299999999999</c:v>
                </c:pt>
                <c:pt idx="1">
                  <c:v>249.43</c:v>
                </c:pt>
                <c:pt idx="2">
                  <c:v>1414.15</c:v>
                </c:pt>
                <c:pt idx="3">
                  <c:v>1762.11</c:v>
                </c:pt>
                <c:pt idx="4">
                  <c:v>3736.7400000000002</c:v>
                </c:pt>
                <c:pt idx="5">
                  <c:v>3343.5299999999997</c:v>
                </c:pt>
                <c:pt idx="6">
                  <c:v>1639.18</c:v>
                </c:pt>
                <c:pt idx="7">
                  <c:v>1416.46</c:v>
                </c:pt>
                <c:pt idx="8">
                  <c:v>2914.92</c:v>
                </c:pt>
                <c:pt idx="9">
                  <c:v>1584.0199999999998</c:v>
                </c:pt>
                <c:pt idx="11">
                  <c:v>1452.51</c:v>
                </c:pt>
                <c:pt idx="12">
                  <c:v>2267.3000000000002</c:v>
                </c:pt>
                <c:pt idx="13">
                  <c:v>1049.8600000000001</c:v>
                </c:pt>
                <c:pt idx="14">
                  <c:v>984.20999999999992</c:v>
                </c:pt>
                <c:pt idx="15">
                  <c:v>2555.19</c:v>
                </c:pt>
                <c:pt idx="16">
                  <c:v>1338.4199999999998</c:v>
                </c:pt>
                <c:pt idx="17">
                  <c:v>1957.8000000000002</c:v>
                </c:pt>
                <c:pt idx="18">
                  <c:v>1168.73</c:v>
                </c:pt>
                <c:pt idx="19">
                  <c:v>1522.45</c:v>
                </c:pt>
                <c:pt idx="20">
                  <c:v>2215.5100000000002</c:v>
                </c:pt>
                <c:pt idx="21">
                  <c:v>2008.03</c:v>
                </c:pt>
                <c:pt idx="22">
                  <c:v>826.93999999999994</c:v>
                </c:pt>
                <c:pt idx="23">
                  <c:v>1309.01</c:v>
                </c:pt>
                <c:pt idx="24">
                  <c:v>1394.7</c:v>
                </c:pt>
                <c:pt idx="25">
                  <c:v>1350.3700000000001</c:v>
                </c:pt>
                <c:pt idx="26">
                  <c:v>1584.15</c:v>
                </c:pt>
                <c:pt idx="27">
                  <c:v>1173.3699999999999</c:v>
                </c:pt>
                <c:pt idx="28">
                  <c:v>2261.21</c:v>
                </c:pt>
                <c:pt idx="29">
                  <c:v>288.14999999999998</c:v>
                </c:pt>
                <c:pt idx="30">
                  <c:v>1442.71</c:v>
                </c:pt>
                <c:pt idx="31">
                  <c:v>2331.37</c:v>
                </c:pt>
                <c:pt idx="32">
                  <c:v>1839.52</c:v>
                </c:pt>
                <c:pt idx="33">
                  <c:v>962.77</c:v>
                </c:pt>
                <c:pt idx="34">
                  <c:v>3262.2900000000004</c:v>
                </c:pt>
                <c:pt idx="35">
                  <c:v>2336.88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33-44F3-8873-C5ABFB47B210}"/>
            </c:ext>
          </c:extLst>
        </c:ser>
        <c:ser>
          <c:idx val="3"/>
          <c:order val="3"/>
          <c:tx>
            <c:strRef>
              <c:f>'Monthly Revenue by Region'!$E$3:$E$4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'Monthly Revenue by Region'!$A$5:$A$41</c:f>
              <c:strCache>
                <c:ptCount val="36"/>
                <c:pt idx="0">
                  <c:v>Apr 2022</c:v>
                </c:pt>
                <c:pt idx="1">
                  <c:v>Apr 2023</c:v>
                </c:pt>
                <c:pt idx="2">
                  <c:v>Apr 2024</c:v>
                </c:pt>
                <c:pt idx="3">
                  <c:v>Aug 2022</c:v>
                </c:pt>
                <c:pt idx="4">
                  <c:v>Aug 2023</c:v>
                </c:pt>
                <c:pt idx="5">
                  <c:v>Aug 2024</c:v>
                </c:pt>
                <c:pt idx="6">
                  <c:v>Dec 2022</c:v>
                </c:pt>
                <c:pt idx="7">
                  <c:v>Dec 2023</c:v>
                </c:pt>
                <c:pt idx="8">
                  <c:v>Dec 2024</c:v>
                </c:pt>
                <c:pt idx="9">
                  <c:v>Feb 2022</c:v>
                </c:pt>
                <c:pt idx="10">
                  <c:v>Feb 2023</c:v>
                </c:pt>
                <c:pt idx="11">
                  <c:v>Feb 2024</c:v>
                </c:pt>
                <c:pt idx="12">
                  <c:v>Jan 2022</c:v>
                </c:pt>
                <c:pt idx="13">
                  <c:v>Jan 2023</c:v>
                </c:pt>
                <c:pt idx="14">
                  <c:v>Jan 2024</c:v>
                </c:pt>
                <c:pt idx="15">
                  <c:v>Jul 2022</c:v>
                </c:pt>
                <c:pt idx="16">
                  <c:v>Jul 2023</c:v>
                </c:pt>
                <c:pt idx="17">
                  <c:v>Jul 2024</c:v>
                </c:pt>
                <c:pt idx="18">
                  <c:v>Jun 2022</c:v>
                </c:pt>
                <c:pt idx="19">
                  <c:v>Jun 2023</c:v>
                </c:pt>
                <c:pt idx="20">
                  <c:v>Jun 2024</c:v>
                </c:pt>
                <c:pt idx="21">
                  <c:v>Mar 2022</c:v>
                </c:pt>
                <c:pt idx="22">
                  <c:v>Mar 2023</c:v>
                </c:pt>
                <c:pt idx="23">
                  <c:v>Mar 2024</c:v>
                </c:pt>
                <c:pt idx="24">
                  <c:v>May 2022</c:v>
                </c:pt>
                <c:pt idx="25">
                  <c:v>May 2023</c:v>
                </c:pt>
                <c:pt idx="26">
                  <c:v>May 2024</c:v>
                </c:pt>
                <c:pt idx="27">
                  <c:v>Nov 2022</c:v>
                </c:pt>
                <c:pt idx="28">
                  <c:v>Nov 2023</c:v>
                </c:pt>
                <c:pt idx="29">
                  <c:v>Nov 2024</c:v>
                </c:pt>
                <c:pt idx="30">
                  <c:v>Oct 2022</c:v>
                </c:pt>
                <c:pt idx="31">
                  <c:v>Oct 2023</c:v>
                </c:pt>
                <c:pt idx="32">
                  <c:v>Oct 2024</c:v>
                </c:pt>
                <c:pt idx="33">
                  <c:v>Sept 2022</c:v>
                </c:pt>
                <c:pt idx="34">
                  <c:v>Sept 2023</c:v>
                </c:pt>
                <c:pt idx="35">
                  <c:v>Sept 2024</c:v>
                </c:pt>
              </c:strCache>
            </c:strRef>
          </c:cat>
          <c:val>
            <c:numRef>
              <c:f>'Monthly Revenue by Region'!$E$5:$E$41</c:f>
              <c:numCache>
                <c:formatCode>General</c:formatCode>
                <c:ptCount val="36"/>
                <c:pt idx="0">
                  <c:v>2163.75</c:v>
                </c:pt>
                <c:pt idx="1">
                  <c:v>2097.58</c:v>
                </c:pt>
                <c:pt idx="2">
                  <c:v>2975.49</c:v>
                </c:pt>
                <c:pt idx="3">
                  <c:v>1414.44</c:v>
                </c:pt>
                <c:pt idx="4">
                  <c:v>723.04</c:v>
                </c:pt>
                <c:pt idx="5">
                  <c:v>5108.3700000000008</c:v>
                </c:pt>
                <c:pt idx="6">
                  <c:v>2226.87</c:v>
                </c:pt>
                <c:pt idx="7">
                  <c:v>2080.9499999999998</c:v>
                </c:pt>
                <c:pt idx="9">
                  <c:v>970.21</c:v>
                </c:pt>
                <c:pt idx="10">
                  <c:v>1409.54</c:v>
                </c:pt>
                <c:pt idx="11">
                  <c:v>982.42000000000007</c:v>
                </c:pt>
                <c:pt idx="12">
                  <c:v>602.66999999999996</c:v>
                </c:pt>
                <c:pt idx="13">
                  <c:v>1480.35</c:v>
                </c:pt>
                <c:pt idx="14">
                  <c:v>1982.97</c:v>
                </c:pt>
                <c:pt idx="15">
                  <c:v>1050.1799999999998</c:v>
                </c:pt>
                <c:pt idx="16">
                  <c:v>2751.23</c:v>
                </c:pt>
                <c:pt idx="17">
                  <c:v>1969.81</c:v>
                </c:pt>
                <c:pt idx="18">
                  <c:v>2705.5199999999995</c:v>
                </c:pt>
                <c:pt idx="19">
                  <c:v>2214.79</c:v>
                </c:pt>
                <c:pt idx="20">
                  <c:v>2021.37</c:v>
                </c:pt>
                <c:pt idx="21">
                  <c:v>1914.68</c:v>
                </c:pt>
                <c:pt idx="22">
                  <c:v>2174.7799999999997</c:v>
                </c:pt>
                <c:pt idx="23">
                  <c:v>435.72</c:v>
                </c:pt>
                <c:pt idx="24">
                  <c:v>777.38</c:v>
                </c:pt>
                <c:pt idx="25">
                  <c:v>3158.2</c:v>
                </c:pt>
                <c:pt idx="26">
                  <c:v>1275.52</c:v>
                </c:pt>
                <c:pt idx="27">
                  <c:v>1457.61</c:v>
                </c:pt>
                <c:pt idx="28">
                  <c:v>365.79</c:v>
                </c:pt>
                <c:pt idx="29">
                  <c:v>643.46</c:v>
                </c:pt>
                <c:pt idx="30">
                  <c:v>872.75</c:v>
                </c:pt>
                <c:pt idx="32">
                  <c:v>1329.49</c:v>
                </c:pt>
                <c:pt idx="33">
                  <c:v>1420.58</c:v>
                </c:pt>
                <c:pt idx="34">
                  <c:v>3834.72</c:v>
                </c:pt>
                <c:pt idx="35">
                  <c:v>1618.13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33-44F3-8873-C5ABFB47B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965664"/>
        <c:axId val="678980544"/>
        <c:axId val="386000624"/>
      </c:line3DChart>
      <c:catAx>
        <c:axId val="67896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980544"/>
        <c:crosses val="autoZero"/>
        <c:auto val="1"/>
        <c:lblAlgn val="ctr"/>
        <c:lblOffset val="100"/>
        <c:noMultiLvlLbl val="0"/>
      </c:catAx>
      <c:valAx>
        <c:axId val="6789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965664"/>
        <c:crosses val="autoZero"/>
        <c:crossBetween val="between"/>
      </c:valAx>
      <c:serAx>
        <c:axId val="3860006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98054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[Ecom_Q4_Analysis.xlsx]Revenue by Category!PivotTable3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'Revenue by Category'!$B$4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Category'!$A$5:$A$10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</c:v>
                </c:pt>
              </c:strCache>
            </c:strRef>
          </c:cat>
          <c:val>
            <c:numRef>
              <c:f>'Revenue by Category'!$B$5:$B$10</c:f>
              <c:numCache>
                <c:formatCode>General</c:formatCode>
                <c:ptCount val="5"/>
                <c:pt idx="0">
                  <c:v>21860.21000000001</c:v>
                </c:pt>
                <c:pt idx="1">
                  <c:v>11667.599999999999</c:v>
                </c:pt>
                <c:pt idx="2">
                  <c:v>17535.34</c:v>
                </c:pt>
                <c:pt idx="3">
                  <c:v>20919.370000000003</c:v>
                </c:pt>
                <c:pt idx="4">
                  <c:v>18294.350000000006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5-434A-A82B-29A45BB6FB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78982944"/>
        <c:axId val="678983424"/>
        <c:axId val="0"/>
      </c:bar3DChart>
      <c:catAx>
        <c:axId val="67898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983424"/>
        <c:crosses val="autoZero"/>
        <c:auto val="1"/>
        <c:lblAlgn val="ctr"/>
        <c:lblOffset val="100"/>
        <c:noMultiLvlLbl val="0"/>
      </c:catAx>
      <c:valAx>
        <c:axId val="6789834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7898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[Ecom_Q4_Analysis.xlsx]Revenue by Engagement Tier!PivotTable1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Engagement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by Engagement Tier'!$B$3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80-414F-B3FF-3A2F770870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80-414F-B3FF-3A2F770870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80-414F-B3FF-3A2F770870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Engagement Tier'!$A$4:$A$7</c:f>
              <c:strCache>
                <c:ptCount val="3"/>
                <c:pt idx="0">
                  <c:v>Active</c:v>
                </c:pt>
                <c:pt idx="1">
                  <c:v>New</c:v>
                </c:pt>
                <c:pt idx="2">
                  <c:v>Power User</c:v>
                </c:pt>
              </c:strCache>
            </c:strRef>
          </c:cat>
          <c:val>
            <c:numRef>
              <c:f>'Revenue by Engagement Tier'!$B$4:$B$7</c:f>
              <c:numCache>
                <c:formatCode>General</c:formatCode>
                <c:ptCount val="3"/>
                <c:pt idx="0">
                  <c:v>161816.89000000001</c:v>
                </c:pt>
                <c:pt idx="1">
                  <c:v>70954.359999999957</c:v>
                </c:pt>
                <c:pt idx="2">
                  <c:v>19016.86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80-414F-B3FF-3A2F770870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[Ecom_Q4_Analysis.xlsx]Revenue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'Revenue by Category'!$B$4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'Revenue by Category'!$A$5:$A$10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Health</c:v>
                </c:pt>
                <c:pt idx="4">
                  <c:v>Home</c:v>
                </c:pt>
              </c:strCache>
            </c:strRef>
          </c:cat>
          <c:val>
            <c:numRef>
              <c:f>'Revenue by Category'!$B$5:$B$10</c:f>
              <c:numCache>
                <c:formatCode>General</c:formatCode>
                <c:ptCount val="5"/>
                <c:pt idx="0">
                  <c:v>21860.21000000001</c:v>
                </c:pt>
                <c:pt idx="1">
                  <c:v>11667.599999999999</c:v>
                </c:pt>
                <c:pt idx="2">
                  <c:v>17535.34</c:v>
                </c:pt>
                <c:pt idx="3">
                  <c:v>20919.370000000003</c:v>
                </c:pt>
                <c:pt idx="4">
                  <c:v>18294.350000000006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6-46F2-BB2C-A5A538E55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8982944"/>
        <c:axId val="678983424"/>
        <c:axId val="0"/>
      </c:bar3DChart>
      <c:catAx>
        <c:axId val="67898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983424"/>
        <c:crosses val="autoZero"/>
        <c:auto val="1"/>
        <c:lblAlgn val="ctr"/>
        <c:lblOffset val="100"/>
        <c:noMultiLvlLbl val="0"/>
      </c:catAx>
      <c:valAx>
        <c:axId val="67898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7898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301625</xdr:colOff>
      <xdr:row>3</xdr:row>
      <xdr:rowOff>142875</xdr:rowOff>
    </xdr:from>
    <xdr:to>
      <xdr:col>10</xdr:col>
      <xdr:colOff>606425</xdr:colOff>
      <xdr:row>21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8D6292-F43F-F772-1650-72C7CE673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</xdr:row>
      <xdr:rowOff>114300</xdr:rowOff>
    </xdr:from>
    <xdr:to>
      <xdr:col>16</xdr:col>
      <xdr:colOff>133350</xdr:colOff>
      <xdr:row>23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36178-01D9-94CE-EC91-0A343A5F3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0</xdr:row>
      <xdr:rowOff>31750</xdr:rowOff>
    </xdr:from>
    <xdr:to>
      <xdr:col>15</xdr:col>
      <xdr:colOff>203200</xdr:colOff>
      <xdr:row>3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286007B-DCA3-EE50-2318-18850E94EA29}"/>
            </a:ext>
          </a:extLst>
        </xdr:cNvPr>
        <xdr:cNvSpPr/>
      </xdr:nvSpPr>
      <xdr:spPr>
        <a:xfrm>
          <a:off x="603250" y="31750"/>
          <a:ext cx="8743950" cy="47625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</xdr:col>
      <xdr:colOff>57149</xdr:colOff>
      <xdr:row>0</xdr:row>
      <xdr:rowOff>69850</xdr:rowOff>
    </xdr:from>
    <xdr:to>
      <xdr:col>15</xdr:col>
      <xdr:colOff>143932</xdr:colOff>
      <xdr:row>2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6618851-9FA3-99CB-A93A-63029F2E713B}"/>
            </a:ext>
          </a:extLst>
        </xdr:cNvPr>
        <xdr:cNvSpPr txBox="1"/>
      </xdr:nvSpPr>
      <xdr:spPr>
        <a:xfrm>
          <a:off x="666749" y="69850"/>
          <a:ext cx="8621183" cy="366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Aptos" panose="020B0004020202020204" pitchFamily="34" charset="0"/>
            </a:rPr>
            <a:t>CUSTOMER ENGAGEMENT DASHBOARD</a:t>
          </a:r>
          <a:endParaRPr lang="en-NG" sz="1600" b="1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95250</xdr:colOff>
      <xdr:row>19</xdr:row>
      <xdr:rowOff>150282</xdr:rowOff>
    </xdr:from>
    <xdr:to>
      <xdr:col>13</xdr:col>
      <xdr:colOff>368300</xdr:colOff>
      <xdr:row>40</xdr:row>
      <xdr:rowOff>48682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6C74BD-43F9-4BB2-BE91-D7624C78A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474135</xdr:colOff>
      <xdr:row>3</xdr:row>
      <xdr:rowOff>101601</xdr:rowOff>
    </xdr:from>
    <xdr:to>
      <xdr:col>15</xdr:col>
      <xdr:colOff>169335</xdr:colOff>
      <xdr:row>20</xdr:row>
      <xdr:rowOff>110068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4B1D64-9AAE-4BA3-9F24-C97FFEC3E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575734</xdr:colOff>
      <xdr:row>3</xdr:row>
      <xdr:rowOff>93134</xdr:rowOff>
    </xdr:from>
    <xdr:to>
      <xdr:col>7</xdr:col>
      <xdr:colOff>508000</xdr:colOff>
      <xdr:row>20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DABD3A-29BA-4567-9628-58A19732D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1</xdr:row>
      <xdr:rowOff>133350</xdr:rowOff>
    </xdr:from>
    <xdr:to>
      <xdr:col>9</xdr:col>
      <xdr:colOff>482600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48F741-EF75-0788-6BB3-802A43799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yinoluwa Oso" refreshedDate="46060.501569907407" createdVersion="8" refreshedVersion="8" minRefreshableVersion="3" recordCount="500" xr:uid="{E20192BB-47B5-4F7A-AAE0-8863B1EB9E34}">
  <cacheSource type="worksheet">
    <worksheetSource name="Table1"/>
  </cacheSource>
  <cacheFields count="8">
    <cacheField name="Customer ID" numFmtId="0">
      <sharedItems/>
    </cacheField>
    <cacheField name="Transaction Date" numFmtId="164">
      <sharedItems containsSemiMixedTypes="0" containsNonDate="0" containsDate="1" containsString="0" minDate="2022-01-03T00:00:00" maxDate="2024-12-30T00:00:00"/>
    </cacheField>
    <cacheField name="Transaction Amount" numFmtId="0">
      <sharedItems containsSemiMixedTypes="0" containsString="0" containsNumber="1" minValue="15.01" maxValue="993.04"/>
    </cacheField>
    <cacheField name="Category" numFmtId="0">
      <sharedItems/>
    </cacheField>
    <cacheField name="Region" numFmtId="0">
      <sharedItems/>
    </cacheField>
    <cacheField name="Prior_Purchases" numFmtId="0">
      <sharedItems containsSemiMixedTypes="0" containsString="0" containsNumber="1" containsInteger="1" minValue="0" maxValue="11"/>
    </cacheField>
    <cacheField name="Engagement_Tier" numFmtId="0">
      <sharedItems count="3">
        <s v="New"/>
        <s v="Active"/>
        <s v="Power User"/>
      </sharedItems>
    </cacheField>
    <cacheField name="Monthly Colum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yinoluwa Oso" refreshedDate="46060.503092476851" createdVersion="8" refreshedVersion="8" minRefreshableVersion="3" recordCount="1000" xr:uid="{8300C1BB-DD70-4E15-BB36-1E1BA6C86507}">
  <cacheSource type="worksheet">
    <worksheetSource ref="A1:H1048576" sheet="Dummy_E-commerce_Transactions.c"/>
  </cacheSource>
  <cacheFields count="8">
    <cacheField name="Customer ID" numFmtId="0">
      <sharedItems containsBlank="1"/>
    </cacheField>
    <cacheField name="Transaction Date" numFmtId="0">
      <sharedItems containsNonDate="0" containsDate="1" containsString="0" containsBlank="1" minDate="2022-01-03T00:00:00" maxDate="2024-12-30T00:00:00" count="405">
        <d v="2022-11-12T00:00:00"/>
        <d v="2022-12-22T00:00:00"/>
        <d v="2023-08-03T00:00:00"/>
        <d v="2024-03-09T00:00:00"/>
        <d v="2024-08-17T00:00:00"/>
        <d v="2024-09-27T00:00:00"/>
        <d v="2022-03-01T00:00:00"/>
        <d v="2023-04-14T00:00:00"/>
        <d v="2022-10-26T00:00:00"/>
        <d v="2023-11-14T00:00:00"/>
        <d v="2024-01-10T00:00:00"/>
        <d v="2024-04-08T00:00:00"/>
        <d v="2023-07-14T00:00:00"/>
        <d v="2022-12-27T00:00:00"/>
        <d v="2023-04-06T00:00:00"/>
        <d v="2022-01-06T00:00:00"/>
        <d v="2022-02-12T00:00:00"/>
        <d v="2024-06-01T00:00:00"/>
        <d v="2024-06-25T00:00:00"/>
        <d v="2024-11-27T00:00:00"/>
        <d v="2022-02-01T00:00:00"/>
        <d v="2024-07-20T00:00:00"/>
        <d v="2022-01-29T00:00:00"/>
        <d v="2022-07-21T00:00:00"/>
        <d v="2023-04-24T00:00:00"/>
        <d v="2024-04-16T00:00:00"/>
        <d v="2024-06-16T00:00:00"/>
        <d v="2024-07-30T00:00:00"/>
        <d v="2023-10-12T00:00:00"/>
        <d v="2024-04-29T00:00:00"/>
        <d v="2024-05-02T00:00:00"/>
        <d v="2022-04-16T00:00:00"/>
        <d v="2022-05-21T00:00:00"/>
        <d v="2024-03-08T00:00:00"/>
        <d v="2024-08-12T00:00:00"/>
        <d v="2024-11-28T00:00:00"/>
        <d v="2022-09-16T00:00:00"/>
        <d v="2023-07-12T00:00:00"/>
        <d v="2023-09-04T00:00:00"/>
        <d v="2023-05-30T00:00:00"/>
        <d v="2024-02-25T00:00:00"/>
        <d v="2022-07-10T00:00:00"/>
        <d v="2023-01-08T00:00:00"/>
        <d v="2023-08-22T00:00:00"/>
        <d v="2023-09-15T00:00:00"/>
        <d v="2023-04-19T00:00:00"/>
        <d v="2023-06-01T00:00:00"/>
        <d v="2023-07-26T00:00:00"/>
        <d v="2023-08-30T00:00:00"/>
        <d v="2022-07-25T00:00:00"/>
        <d v="2022-10-05T00:00:00"/>
        <d v="2023-04-05T00:00:00"/>
        <d v="2022-05-14T00:00:00"/>
        <d v="2023-01-26T00:00:00"/>
        <d v="2023-04-21T00:00:00"/>
        <d v="2023-09-20T00:00:00"/>
        <d v="2023-09-22T00:00:00"/>
        <d v="2023-12-08T00:00:00"/>
        <d v="2024-07-10T00:00:00"/>
        <d v="2024-08-21T00:00:00"/>
        <d v="2022-06-15T00:00:00"/>
        <d v="2023-04-18T00:00:00"/>
        <d v="2023-04-26T00:00:00"/>
        <d v="2023-11-12T00:00:00"/>
        <d v="2023-11-23T00:00:00"/>
        <d v="2024-12-06T00:00:00"/>
        <d v="2023-07-06T00:00:00"/>
        <d v="2024-04-14T00:00:00"/>
        <d v="2022-04-22T00:00:00"/>
        <d v="2022-05-23T00:00:00"/>
        <d v="2023-01-15T00:00:00"/>
        <d v="2023-09-18T00:00:00"/>
        <d v="2023-10-14T00:00:00"/>
        <d v="2023-01-20T00:00:00"/>
        <d v="2024-10-21T00:00:00"/>
        <d v="2022-01-26T00:00:00"/>
        <d v="2022-02-05T00:00:00"/>
        <d v="2022-03-26T00:00:00"/>
        <d v="2023-07-16T00:00:00"/>
        <d v="2024-02-27T00:00:00"/>
        <d v="2024-11-05T00:00:00"/>
        <d v="2022-04-04T00:00:00"/>
        <d v="2023-05-18T00:00:00"/>
        <d v="2023-05-22T00:00:00"/>
        <d v="2022-05-27T00:00:00"/>
        <d v="2023-07-11T00:00:00"/>
        <d v="2023-11-20T00:00:00"/>
        <d v="2022-01-21T00:00:00"/>
        <d v="2022-03-24T00:00:00"/>
        <d v="2024-01-26T00:00:00"/>
        <d v="2024-05-13T00:00:00"/>
        <d v="2022-11-21T00:00:00"/>
        <d v="2023-06-07T00:00:00"/>
        <d v="2024-02-08T00:00:00"/>
        <d v="2024-06-11T00:00:00"/>
        <d v="2022-01-03T00:00:00"/>
        <d v="2022-09-17T00:00:00"/>
        <d v="2022-11-07T00:00:00"/>
        <d v="2024-04-12T00:00:00"/>
        <d v="2022-11-01T00:00:00"/>
        <d v="2024-02-07T00:00:00"/>
        <d v="2024-07-21T00:00:00"/>
        <d v="2024-08-09T00:00:00"/>
        <d v="2023-03-26T00:00:00"/>
        <d v="2023-10-01T00:00:00"/>
        <d v="2022-04-20T00:00:00"/>
        <d v="2024-08-27T00:00:00"/>
        <d v="2023-01-28T00:00:00"/>
        <d v="2023-01-30T00:00:00"/>
        <d v="2024-09-17T00:00:00"/>
        <d v="2023-05-08T00:00:00"/>
        <d v="2023-11-07T00:00:00"/>
        <d v="2023-11-30T00:00:00"/>
        <d v="2024-03-23T00:00:00"/>
        <d v="2022-01-20T00:00:00"/>
        <d v="2022-08-22T00:00:00"/>
        <d v="2022-09-06T00:00:00"/>
        <d v="2023-06-26T00:00:00"/>
        <d v="2022-08-10T00:00:00"/>
        <d v="2024-04-23T00:00:00"/>
        <d v="2024-11-26T00:00:00"/>
        <d v="2024-12-29T00:00:00"/>
        <d v="2024-04-15T00:00:00"/>
        <d v="2022-03-17T00:00:00"/>
        <d v="2022-09-19T00:00:00"/>
        <d v="2022-12-05T00:00:00"/>
        <d v="2023-08-14T00:00:00"/>
        <d v="2024-02-16T00:00:00"/>
        <d v="2024-05-21T00:00:00"/>
        <d v="2022-03-05T00:00:00"/>
        <d v="2022-09-26T00:00:00"/>
        <d v="2022-11-09T00:00:00"/>
        <d v="2023-09-12T00:00:00"/>
        <d v="2023-12-18T00:00:00"/>
        <d v="2022-06-05T00:00:00"/>
        <d v="2022-06-24T00:00:00"/>
        <d v="2022-12-07T00:00:00"/>
        <d v="2024-03-31T00:00:00"/>
        <d v="2024-05-27T00:00:00"/>
        <d v="2023-02-11T00:00:00"/>
        <d v="2023-07-20T00:00:00"/>
        <d v="2023-07-27T00:00:00"/>
        <d v="2022-06-16T00:00:00"/>
        <d v="2024-10-17T00:00:00"/>
        <d v="2024-09-19T00:00:00"/>
        <d v="2022-11-18T00:00:00"/>
        <d v="2024-06-03T00:00:00"/>
        <d v="2024-07-24T00:00:00"/>
        <d v="2023-06-29T00:00:00"/>
        <d v="2023-05-16T00:00:00"/>
        <d v="2023-06-15T00:00:00"/>
        <d v="2023-08-15T00:00:00"/>
        <d v="2024-08-10T00:00:00"/>
        <d v="2022-05-12T00:00:00"/>
        <d v="2023-06-14T00:00:00"/>
        <d v="2024-06-27T00:00:00"/>
        <d v="2024-09-18T00:00:00"/>
        <d v="2024-12-23T00:00:00"/>
        <d v="2022-02-22T00:00:00"/>
        <d v="2022-12-02T00:00:00"/>
        <d v="2024-08-20T00:00:00"/>
        <d v="2024-11-24T00:00:00"/>
        <d v="2023-03-09T00:00:00"/>
        <d v="2024-06-20T00:00:00"/>
        <d v="2023-10-27T00:00:00"/>
        <d v="2024-02-19T00:00:00"/>
        <d v="2022-06-14T00:00:00"/>
        <d v="2024-02-18T00:00:00"/>
        <d v="2024-05-10T00:00:00"/>
        <d v="2024-10-02T00:00:00"/>
        <d v="2022-08-03T00:00:00"/>
        <d v="2023-02-28T00:00:00"/>
        <d v="2023-05-06T00:00:00"/>
        <d v="2023-07-24T00:00:00"/>
        <d v="2023-11-28T00:00:00"/>
        <d v="2024-10-11T00:00:00"/>
        <d v="2022-02-09T00:00:00"/>
        <d v="2022-03-23T00:00:00"/>
        <d v="2023-08-21T00:00:00"/>
        <d v="2022-02-28T00:00:00"/>
        <d v="2022-07-06T00:00:00"/>
        <d v="2023-04-11T00:00:00"/>
        <d v="2024-06-19T00:00:00"/>
        <d v="2022-01-13T00:00:00"/>
        <d v="2023-03-30T00:00:00"/>
        <d v="2024-11-19T00:00:00"/>
        <d v="2023-04-20T00:00:00"/>
        <d v="2024-06-24T00:00:00"/>
        <d v="2022-02-10T00:00:00"/>
        <d v="2022-05-26T00:00:00"/>
        <d v="2023-05-04T00:00:00"/>
        <d v="2023-07-17T00:00:00"/>
        <d v="2023-09-29T00:00:00"/>
        <d v="2024-05-23T00:00:00"/>
        <d v="2024-11-06T00:00:00"/>
        <d v="2023-01-07T00:00:00"/>
        <d v="2023-11-01T00:00:00"/>
        <d v="2022-01-12T00:00:00"/>
        <d v="2022-06-21T00:00:00"/>
        <d v="2023-05-14T00:00:00"/>
        <d v="2023-12-09T00:00:00"/>
        <d v="2024-12-03T00:00:00"/>
        <d v="2022-08-23T00:00:00"/>
        <d v="2023-03-28T00:00:00"/>
        <d v="2023-06-09T00:00:00"/>
        <d v="2023-07-04T00:00:00"/>
        <d v="2023-10-09T00:00:00"/>
        <d v="2024-06-10T00:00:00"/>
        <d v="2022-10-23T00:00:00"/>
        <d v="2024-02-24T00:00:00"/>
        <d v="2023-10-25T00:00:00"/>
        <d v="2024-07-23T00:00:00"/>
        <d v="2022-04-13T00:00:00"/>
        <d v="2022-08-21T00:00:00"/>
        <d v="2022-08-26T00:00:00"/>
        <d v="2022-11-13T00:00:00"/>
        <d v="2023-02-12T00:00:00"/>
        <d v="2023-08-06T00:00:00"/>
        <d v="2023-11-02T00:00:00"/>
        <d v="2023-11-29T00:00:00"/>
        <d v="2024-01-29T00:00:00"/>
        <d v="2024-02-20T00:00:00"/>
        <d v="2024-03-25T00:00:00"/>
        <d v="2022-11-02T00:00:00"/>
        <d v="2022-06-30T00:00:00"/>
        <d v="2024-03-07T00:00:00"/>
        <d v="2022-06-01T00:00:00"/>
        <d v="2023-05-05T00:00:00"/>
        <d v="2023-07-01T00:00:00"/>
        <d v="2024-07-06T00:00:00"/>
        <d v="2024-07-11T00:00:00"/>
        <d v="2023-12-14T00:00:00"/>
        <d v="2024-10-25T00:00:00"/>
        <d v="2023-08-12T00:00:00"/>
        <d v="2024-09-30T00:00:00"/>
        <d v="2022-05-22T00:00:00"/>
        <d v="2022-05-03T00:00:00"/>
        <d v="2022-11-08T00:00:00"/>
        <d v="2023-08-20T00:00:00"/>
        <d v="2024-09-15T00:00:00"/>
        <d v="2022-11-22T00:00:00"/>
        <d v="2023-11-09T00:00:00"/>
        <d v="2024-01-12T00:00:00"/>
        <d v="2023-12-28T00:00:00"/>
        <d v="2024-09-25T00:00:00"/>
        <d v="2024-09-29T00:00:00"/>
        <d v="2023-01-04T00:00:00"/>
        <d v="2024-04-30T00:00:00"/>
        <d v="2023-03-10T00:00:00"/>
        <d v="2024-09-02T00:00:00"/>
        <d v="2024-11-08T00:00:00"/>
        <d v="2022-07-23T00:00:00"/>
        <d v="2022-07-30T00:00:00"/>
        <d v="2023-09-01T00:00:00"/>
        <d v="2023-10-23T00:00:00"/>
        <d v="2023-10-28T00:00:00"/>
        <d v="2023-11-11T00:00:00"/>
        <d v="2024-08-03T00:00:00"/>
        <d v="2024-08-26T00:00:00"/>
        <d v="2022-12-25T00:00:00"/>
        <d v="2024-10-04T00:00:00"/>
        <d v="2022-07-07T00:00:00"/>
        <d v="2024-09-05T00:00:00"/>
        <d v="2024-07-03T00:00:00"/>
        <d v="2024-08-25T00:00:00"/>
        <d v="2024-03-17T00:00:00"/>
        <d v="2024-06-06T00:00:00"/>
        <d v="2024-11-02T00:00:00"/>
        <d v="2023-06-05T00:00:00"/>
        <d v="2022-03-15T00:00:00"/>
        <d v="2022-11-05T00:00:00"/>
        <d v="2023-12-06T00:00:00"/>
        <d v="2024-06-23T00:00:00"/>
        <d v="2022-06-11T00:00:00"/>
        <d v="2023-05-24T00:00:00"/>
        <d v="2024-05-18T00:00:00"/>
        <d v="2022-04-05T00:00:00"/>
        <d v="2024-05-08T00:00:00"/>
        <d v="2022-05-04T00:00:00"/>
        <d v="2022-09-05T00:00:00"/>
        <d v="2023-01-03T00:00:00"/>
        <d v="2022-06-03T00:00:00"/>
        <d v="2024-05-01T00:00:00"/>
        <d v="2022-06-08T00:00:00"/>
        <d v="2023-12-13T00:00:00"/>
        <d v="2024-04-19T00:00:00"/>
        <d v="2022-12-06T00:00:00"/>
        <d v="2023-03-15T00:00:00"/>
        <d v="2022-03-31T00:00:00"/>
        <d v="2022-06-27T00:00:00"/>
        <d v="2022-10-11T00:00:00"/>
        <d v="2024-06-15T00:00:00"/>
        <d v="2022-10-07T00:00:00"/>
        <d v="2022-08-07T00:00:00"/>
        <d v="2023-11-04T00:00:00"/>
        <d v="2022-07-24T00:00:00"/>
        <d v="2023-03-11T00:00:00"/>
        <d v="2024-07-02T00:00:00"/>
        <d v="2024-07-18T00:00:00"/>
        <d v="2024-12-28T00:00:00"/>
        <d v="2023-06-02T00:00:00"/>
        <d v="2023-09-30T00:00:00"/>
        <d v="2024-09-07T00:00:00"/>
        <d v="2024-09-26T00:00:00"/>
        <d v="2023-05-15T00:00:00"/>
        <d v="2024-05-20T00:00:00"/>
        <d v="2024-09-03T00:00:00"/>
        <d v="2023-05-28T00:00:00"/>
        <d v="2024-05-28T00:00:00"/>
        <d v="2024-06-07T00:00:00"/>
        <d v="2024-12-13T00:00:00"/>
        <d v="2022-02-25T00:00:00"/>
        <d v="2023-10-17T00:00:00"/>
        <d v="2022-03-08T00:00:00"/>
        <d v="2022-10-01T00:00:00"/>
        <d v="2023-02-21T00:00:00"/>
        <d v="2023-05-26T00:00:00"/>
        <d v="2023-06-27T00:00:00"/>
        <d v="2023-08-13T00:00:00"/>
        <d v="2024-03-01T00:00:00"/>
        <d v="2022-08-31T00:00:00"/>
        <d v="2024-04-07T00:00:00"/>
        <d v="2024-04-26T00:00:00"/>
        <d v="2024-08-02T00:00:00"/>
        <d v="2024-08-04T00:00:00"/>
        <d v="2024-08-15T00:00:00"/>
        <d v="2023-03-20T00:00:00"/>
        <d v="2023-12-22T00:00:00"/>
        <d v="2023-07-08T00:00:00"/>
        <d v="2024-10-09T00:00:00"/>
        <d v="2023-03-25T00:00:00"/>
        <d v="2022-11-10T00:00:00"/>
        <d v="2023-08-09T00:00:00"/>
        <d v="2024-12-10T00:00:00"/>
        <d v="2023-11-19T00:00:00"/>
        <d v="2024-06-21T00:00:00"/>
        <d v="2022-06-25T00:00:00"/>
        <d v="2023-07-02T00:00:00"/>
        <d v="2022-10-19T00:00:00"/>
        <d v="2024-10-08T00:00:00"/>
        <d v="2024-06-18T00:00:00"/>
        <d v="2023-02-02T00:00:00"/>
        <d v="2023-05-13T00:00:00"/>
        <d v="2024-12-04T00:00:00"/>
        <d v="2023-09-06T00:00:00"/>
        <d v="2023-07-22T00:00:00"/>
        <d v="2023-01-22T00:00:00"/>
        <d v="2023-07-21T00:00:00"/>
        <d v="2024-12-27T00:00:00"/>
        <d v="2022-08-05T00:00:00"/>
        <d v="2022-11-17T00:00:00"/>
        <d v="2023-09-10T00:00:00"/>
        <d v="2022-02-11T00:00:00"/>
        <d v="2022-11-20T00:00:00"/>
        <d v="2022-11-26T00:00:00"/>
        <d v="2024-02-23T00:00:00"/>
        <d v="2024-08-30T00:00:00"/>
        <d v="2022-09-12T00:00:00"/>
        <d v="2024-07-12T00:00:00"/>
        <d v="2024-10-16T00:00:00"/>
        <d v="2024-10-30T00:00:00"/>
        <d v="2023-03-23T00:00:00"/>
        <d v="2024-08-19T00:00:00"/>
        <d v="2022-10-21T00:00:00"/>
        <d v="2022-12-15T00:00:00"/>
        <d v="2023-02-13T00:00:00"/>
        <d v="2023-09-11T00:00:00"/>
        <d v="2024-01-05T00:00:00"/>
        <d v="2022-06-17T00:00:00"/>
        <d v="2023-01-27T00:00:00"/>
        <d v="2022-04-17T00:00:00"/>
        <d v="2022-08-24T00:00:00"/>
        <d v="2023-06-17T00:00:00"/>
        <d v="2023-11-25T00:00:00"/>
        <d v="2022-12-10T00:00:00"/>
        <d v="2023-03-02T00:00:00"/>
        <d v="2023-05-07T00:00:00"/>
        <d v="2023-07-13T00:00:00"/>
        <d v="2023-08-26T00:00:00"/>
        <d v="2023-02-10T00:00:00"/>
        <d v="2023-07-09T00:00:00"/>
        <d v="2022-04-25T00:00:00"/>
        <d v="2022-10-24T00:00:00"/>
        <d v="2023-04-08T00:00:00"/>
        <d v="2024-01-11T00:00:00"/>
        <d v="2024-02-12T00:00:00"/>
        <d v="2024-04-04T00:00:00"/>
        <d v="2024-09-16T00:00:00"/>
        <d v="2022-07-05T00:00:00"/>
        <d v="2023-10-22T00:00:00"/>
        <d v="2022-07-28T00:00:00"/>
        <d v="2023-01-13T00:00:00"/>
        <d v="2023-10-07T00:00:00"/>
        <d v="2024-09-21T00:00:00"/>
        <d v="2023-05-09T00:00:00"/>
        <d v="2022-05-08T00:00:00"/>
        <d v="2023-05-10T00:00:00"/>
        <d v="2023-08-24T00:00:00"/>
        <d v="2023-10-11T00:00:00"/>
        <d v="2022-08-29T00:00:00"/>
        <d v="2022-09-02T00:00:00"/>
        <d v="2023-09-05T00:00:00"/>
        <d v="2023-10-20T00:00:00"/>
        <d v="2024-04-21T00:00:00"/>
        <m/>
      </sharedItems>
    </cacheField>
    <cacheField name="Transaction Amount" numFmtId="0">
      <sharedItems containsString="0" containsBlank="1" containsNumber="1" minValue="15.01" maxValue="993.04"/>
    </cacheField>
    <cacheField name="Category" numFmtId="0">
      <sharedItems containsBlank="1" count="6">
        <s v="Clothing"/>
        <s v="Home"/>
        <s v="Electronics"/>
        <s v="Books"/>
        <s v="Health"/>
        <m/>
      </sharedItems>
    </cacheField>
    <cacheField name="Region" numFmtId="0">
      <sharedItems containsBlank="1" count="5">
        <s v="East"/>
        <s v="West"/>
        <s v="South"/>
        <s v="North"/>
        <m/>
      </sharedItems>
    </cacheField>
    <cacheField name="Prior_Purchases" numFmtId="0">
      <sharedItems containsString="0" containsBlank="1" containsNumber="1" containsInteger="1" minValue="0" maxValue="11"/>
    </cacheField>
    <cacheField name="Engagement_Tier" numFmtId="0">
      <sharedItems containsBlank="1"/>
    </cacheField>
    <cacheField name="Monthly Column" numFmtId="0">
      <sharedItems containsBlank="1" count="37">
        <s v="Nov 2022"/>
        <s v="Dec 2022"/>
        <s v="Aug 2023"/>
        <s v="Mar 2024"/>
        <s v="Aug 2024"/>
        <s v="Sept 2024"/>
        <s v="Mar 2022"/>
        <s v="Apr 2023"/>
        <s v="Oct 2022"/>
        <s v="Nov 2023"/>
        <s v="Jan 2024"/>
        <s v="Apr 2024"/>
        <s v="Jul 2023"/>
        <s v="Jan 2022"/>
        <s v="Feb 2022"/>
        <s v="Jun 2024"/>
        <s v="Nov 2024"/>
        <s v="Jul 2024"/>
        <s v="Jul 2022"/>
        <s v="Oct 2023"/>
        <s v="May 2024"/>
        <s v="Apr 2022"/>
        <s v="May 2022"/>
        <s v="Sept 2022"/>
        <s v="Sept 2023"/>
        <s v="May 2023"/>
        <s v="Feb 2024"/>
        <s v="Jan 2023"/>
        <s v="Jun 2023"/>
        <s v="Dec 2023"/>
        <s v="Jun 2022"/>
        <s v="Dec 2024"/>
        <s v="Oct 2024"/>
        <s v="Mar 2023"/>
        <s v="Aug 2022"/>
        <s v="Feb 20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001"/>
    <d v="2022-11-12T00:00:00"/>
    <n v="423.24"/>
    <s v="Clothing"/>
    <s v="East"/>
    <n v="0"/>
    <x v="0"/>
    <s v="Nov 2022"/>
  </r>
  <r>
    <s v="CUST001"/>
    <d v="2022-12-22T00:00:00"/>
    <n v="291.99"/>
    <s v="Clothing"/>
    <s v="West"/>
    <n v="1"/>
    <x v="1"/>
    <s v="Dec 2022"/>
  </r>
  <r>
    <s v="CUST001"/>
    <d v="2023-08-03T00:00:00"/>
    <n v="301.5"/>
    <s v="Home"/>
    <s v="South"/>
    <n v="2"/>
    <x v="1"/>
    <s v="Aug 2023"/>
  </r>
  <r>
    <s v="CUST001"/>
    <d v="2024-03-09T00:00:00"/>
    <n v="380.87"/>
    <s v="Clothing"/>
    <s v="West"/>
    <n v="3"/>
    <x v="1"/>
    <s v="Mar 2024"/>
  </r>
  <r>
    <s v="CUST001"/>
    <d v="2024-08-17T00:00:00"/>
    <n v="703.96"/>
    <s v="Home"/>
    <s v="North"/>
    <n v="4"/>
    <x v="1"/>
    <s v="Aug 2024"/>
  </r>
  <r>
    <s v="CUST001"/>
    <d v="2024-09-27T00:00:00"/>
    <n v="748.58"/>
    <s v="Clothing"/>
    <s v="East"/>
    <n v="5"/>
    <x v="2"/>
    <s v="Sept 2024"/>
  </r>
  <r>
    <s v="CUST002"/>
    <d v="2022-03-01T00:00:00"/>
    <n v="461.51"/>
    <s v="Electronics"/>
    <s v="South"/>
    <n v="0"/>
    <x v="0"/>
    <s v="Mar 2022"/>
  </r>
  <r>
    <s v="CUST002"/>
    <d v="2023-04-14T00:00:00"/>
    <n v="819.05"/>
    <s v="Books"/>
    <s v="East"/>
    <n v="1"/>
    <x v="1"/>
    <s v="Apr 2023"/>
  </r>
  <r>
    <s v="CUST003"/>
    <d v="2022-10-26T00:00:00"/>
    <n v="809.37"/>
    <s v="Clothing"/>
    <s v="North"/>
    <n v="0"/>
    <x v="0"/>
    <s v="Oct 2022"/>
  </r>
  <r>
    <s v="CUST003"/>
    <d v="2023-11-14T00:00:00"/>
    <n v="728.83"/>
    <s v="Clothing"/>
    <s v="North"/>
    <n v="1"/>
    <x v="1"/>
    <s v="Nov 2023"/>
  </r>
  <r>
    <s v="CUST003"/>
    <d v="2024-01-10T00:00:00"/>
    <n v="955.32"/>
    <s v="Books"/>
    <s v="West"/>
    <n v="2"/>
    <x v="1"/>
    <s v="Jan 2024"/>
  </r>
  <r>
    <s v="CUST003"/>
    <d v="2024-04-08T00:00:00"/>
    <n v="589.91999999999996"/>
    <s v="Books"/>
    <s v="West"/>
    <n v="3"/>
    <x v="1"/>
    <s v="Apr 2024"/>
  </r>
  <r>
    <s v="CUST004"/>
    <d v="2023-07-14T00:00:00"/>
    <n v="649.02"/>
    <s v="Health"/>
    <s v="North"/>
    <n v="0"/>
    <x v="0"/>
    <s v="Jul 2023"/>
  </r>
  <r>
    <s v="CUST005"/>
    <d v="2022-12-27T00:00:00"/>
    <n v="507.65"/>
    <s v="Home"/>
    <s v="South"/>
    <n v="0"/>
    <x v="0"/>
    <s v="Dec 2022"/>
  </r>
  <r>
    <s v="CUST006"/>
    <d v="2023-04-06T00:00:00"/>
    <n v="925.45"/>
    <s v="Books"/>
    <s v="North"/>
    <n v="0"/>
    <x v="0"/>
    <s v="Apr 2023"/>
  </r>
  <r>
    <s v="CUST007"/>
    <d v="2022-01-06T00:00:00"/>
    <n v="951.21"/>
    <s v="Books"/>
    <s v="South"/>
    <n v="0"/>
    <x v="0"/>
    <s v="Jan 2022"/>
  </r>
  <r>
    <s v="CUST007"/>
    <d v="2022-02-12T00:00:00"/>
    <n v="311.2"/>
    <s v="Clothing"/>
    <s v="North"/>
    <n v="1"/>
    <x v="1"/>
    <s v="Feb 2022"/>
  </r>
  <r>
    <s v="CUST007"/>
    <d v="2024-06-01T00:00:00"/>
    <n v="805.45"/>
    <s v="Home"/>
    <s v="East"/>
    <n v="2"/>
    <x v="1"/>
    <s v="Jun 2024"/>
  </r>
  <r>
    <s v="CUST007"/>
    <d v="2024-06-25T00:00:00"/>
    <n v="828.19"/>
    <s v="Clothing"/>
    <s v="North"/>
    <n v="3"/>
    <x v="1"/>
    <s v="Jun 2024"/>
  </r>
  <r>
    <s v="CUST007"/>
    <d v="2024-11-27T00:00:00"/>
    <n v="54.99"/>
    <s v="Clothing"/>
    <s v="West"/>
    <n v="4"/>
    <x v="1"/>
    <s v="Nov 2024"/>
  </r>
  <r>
    <s v="CUST008"/>
    <d v="2022-02-01T00:00:00"/>
    <n v="970.21"/>
    <s v="Health"/>
    <s v="West"/>
    <n v="0"/>
    <x v="0"/>
    <s v="Feb 2022"/>
  </r>
  <r>
    <s v="CUST008"/>
    <d v="2024-07-20T00:00:00"/>
    <n v="453.96"/>
    <s v="Home"/>
    <s v="East"/>
    <n v="1"/>
    <x v="1"/>
    <s v="Jul 2024"/>
  </r>
  <r>
    <s v="CUST009"/>
    <d v="2022-01-29T00:00:00"/>
    <n v="30.38"/>
    <s v="Electronics"/>
    <s v="East"/>
    <n v="0"/>
    <x v="0"/>
    <s v="Jan 2022"/>
  </r>
  <r>
    <s v="CUST009"/>
    <d v="2022-07-21T00:00:00"/>
    <n v="124.71"/>
    <s v="Books"/>
    <s v="East"/>
    <n v="1"/>
    <x v="1"/>
    <s v="Jul 2022"/>
  </r>
  <r>
    <s v="CUST009"/>
    <d v="2023-04-24T00:00:00"/>
    <n v="898.24"/>
    <s v="Health"/>
    <s v="East"/>
    <n v="2"/>
    <x v="1"/>
    <s v="Apr 2023"/>
  </r>
  <r>
    <s v="CUST010"/>
    <d v="2024-04-16T00:00:00"/>
    <n v="463.67"/>
    <s v="Health"/>
    <s v="West"/>
    <n v="0"/>
    <x v="0"/>
    <s v="Apr 2024"/>
  </r>
  <r>
    <s v="CUST010"/>
    <d v="2024-06-16T00:00:00"/>
    <n v="347.4"/>
    <s v="Clothing"/>
    <s v="West"/>
    <n v="1"/>
    <x v="1"/>
    <s v="Jun 2024"/>
  </r>
  <r>
    <s v="CUST010"/>
    <d v="2024-07-30T00:00:00"/>
    <n v="791.72"/>
    <s v="Books"/>
    <s v="East"/>
    <n v="2"/>
    <x v="1"/>
    <s v="Jul 2024"/>
  </r>
  <r>
    <s v="CUST011"/>
    <d v="2023-10-12T00:00:00"/>
    <n v="470.94"/>
    <s v="Clothing"/>
    <s v="South"/>
    <n v="0"/>
    <x v="0"/>
    <s v="Oct 2023"/>
  </r>
  <r>
    <s v="CUST011"/>
    <d v="2024-04-29T00:00:00"/>
    <n v="78.67"/>
    <s v="Home"/>
    <s v="East"/>
    <n v="1"/>
    <x v="1"/>
    <s v="Apr 2024"/>
  </r>
  <r>
    <s v="CUST011"/>
    <d v="2024-05-02T00:00:00"/>
    <n v="103.5"/>
    <s v="Books"/>
    <s v="East"/>
    <n v="2"/>
    <x v="1"/>
    <s v="May 2024"/>
  </r>
  <r>
    <s v="CUST012"/>
    <d v="2022-04-16T00:00:00"/>
    <n v="445.75"/>
    <s v="Health"/>
    <s v="South"/>
    <n v="0"/>
    <x v="0"/>
    <s v="Apr 2022"/>
  </r>
  <r>
    <s v="CUST012"/>
    <d v="2022-05-21T00:00:00"/>
    <n v="777.38"/>
    <s v="Electronics"/>
    <s v="West"/>
    <n v="1"/>
    <x v="1"/>
    <s v="May 2022"/>
  </r>
  <r>
    <s v="CUST012"/>
    <d v="2024-03-08T00:00:00"/>
    <n v="54.85"/>
    <s v="Health"/>
    <s v="West"/>
    <n v="2"/>
    <x v="1"/>
    <s v="Mar 2024"/>
  </r>
  <r>
    <s v="CUST012"/>
    <d v="2024-08-12T00:00:00"/>
    <n v="110.11"/>
    <s v="Electronics"/>
    <s v="South"/>
    <n v="3"/>
    <x v="1"/>
    <s v="Aug 2024"/>
  </r>
  <r>
    <s v="CUST012"/>
    <d v="2024-11-28T00:00:00"/>
    <n v="288.14999999999998"/>
    <s v="Home"/>
    <s v="South"/>
    <n v="4"/>
    <x v="1"/>
    <s v="Nov 2024"/>
  </r>
  <r>
    <s v="CUST013"/>
    <d v="2022-09-16T00:00:00"/>
    <n v="236.51"/>
    <s v="Clothing"/>
    <s v="South"/>
    <n v="0"/>
    <x v="0"/>
    <s v="Sept 2022"/>
  </r>
  <r>
    <s v="CUST013"/>
    <d v="2023-07-12T00:00:00"/>
    <n v="287.95999999999998"/>
    <s v="Health"/>
    <s v="West"/>
    <n v="1"/>
    <x v="1"/>
    <s v="Jul 2023"/>
  </r>
  <r>
    <s v="CUST013"/>
    <d v="2023-09-04T00:00:00"/>
    <n v="365.9"/>
    <s v="Health"/>
    <s v="West"/>
    <n v="2"/>
    <x v="1"/>
    <s v="Sept 2023"/>
  </r>
  <r>
    <s v="CUST014"/>
    <d v="2023-05-30T00:00:00"/>
    <n v="244.88"/>
    <s v="Books"/>
    <s v="East"/>
    <n v="0"/>
    <x v="0"/>
    <s v="May 2023"/>
  </r>
  <r>
    <s v="CUST014"/>
    <d v="2024-02-25T00:00:00"/>
    <n v="439.51"/>
    <s v="Books"/>
    <s v="South"/>
    <n v="1"/>
    <x v="1"/>
    <s v="Feb 2024"/>
  </r>
  <r>
    <s v="CUST015"/>
    <d v="2022-07-10T00:00:00"/>
    <n v="83.3"/>
    <s v="Clothing"/>
    <s v="East"/>
    <n v="0"/>
    <x v="0"/>
    <s v="Jul 2022"/>
  </r>
  <r>
    <s v="CUST015"/>
    <d v="2023-01-08T00:00:00"/>
    <n v="153.44999999999999"/>
    <s v="Electronics"/>
    <s v="East"/>
    <n v="1"/>
    <x v="1"/>
    <s v="Jan 2023"/>
  </r>
  <r>
    <s v="CUST015"/>
    <d v="2023-08-22T00:00:00"/>
    <n v="148.68"/>
    <s v="Electronics"/>
    <s v="West"/>
    <n v="2"/>
    <x v="1"/>
    <s v="Aug 2023"/>
  </r>
  <r>
    <s v="CUST015"/>
    <d v="2023-09-04T00:00:00"/>
    <n v="705.46"/>
    <s v="Health"/>
    <s v="West"/>
    <n v="3"/>
    <x v="1"/>
    <s v="Sept 2023"/>
  </r>
  <r>
    <s v="CUST015"/>
    <d v="2023-09-15T00:00:00"/>
    <n v="516.23"/>
    <s v="Electronics"/>
    <s v="North"/>
    <n v="4"/>
    <x v="1"/>
    <s v="Sept 2023"/>
  </r>
  <r>
    <s v="CUST016"/>
    <d v="2023-04-19T00:00:00"/>
    <n v="534.35"/>
    <s v="Electronics"/>
    <s v="West"/>
    <n v="0"/>
    <x v="0"/>
    <s v="Apr 2023"/>
  </r>
  <r>
    <s v="CUST016"/>
    <d v="2023-06-01T00:00:00"/>
    <n v="749.03"/>
    <s v="Books"/>
    <s v="West"/>
    <n v="1"/>
    <x v="1"/>
    <s v="Jun 2023"/>
  </r>
  <r>
    <s v="CUST016"/>
    <d v="2023-07-26T00:00:00"/>
    <n v="966.99"/>
    <s v="Home"/>
    <s v="North"/>
    <n v="2"/>
    <x v="1"/>
    <s v="Jul 2023"/>
  </r>
  <r>
    <s v="CUST016"/>
    <d v="2023-08-30T00:00:00"/>
    <n v="743.36"/>
    <s v="Clothing"/>
    <s v="North"/>
    <n v="3"/>
    <x v="1"/>
    <s v="Aug 2023"/>
  </r>
  <r>
    <s v="CUST017"/>
    <d v="2022-07-25T00:00:00"/>
    <n v="72.92"/>
    <s v="Clothing"/>
    <s v="East"/>
    <n v="0"/>
    <x v="0"/>
    <s v="Jul 2022"/>
  </r>
  <r>
    <s v="CUST017"/>
    <d v="2022-10-05T00:00:00"/>
    <n v="810.04"/>
    <s v="Electronics"/>
    <s v="East"/>
    <n v="1"/>
    <x v="1"/>
    <s v="Oct 2022"/>
  </r>
  <r>
    <s v="CUST017"/>
    <d v="2023-04-05T00:00:00"/>
    <n v="347.66"/>
    <s v="Electronics"/>
    <s v="East"/>
    <n v="2"/>
    <x v="1"/>
    <s v="Apr 2023"/>
  </r>
  <r>
    <s v="CUST018"/>
    <d v="2022-05-14T00:00:00"/>
    <n v="969.89"/>
    <s v="Books"/>
    <s v="North"/>
    <n v="0"/>
    <x v="0"/>
    <s v="May 2022"/>
  </r>
  <r>
    <s v="CUST018"/>
    <d v="2023-01-26T00:00:00"/>
    <n v="245.26"/>
    <s v="Clothing"/>
    <s v="East"/>
    <n v="1"/>
    <x v="1"/>
    <s v="Jan 2023"/>
  </r>
  <r>
    <s v="CUST018"/>
    <d v="2023-04-21T00:00:00"/>
    <n v="102.17"/>
    <s v="Home"/>
    <s v="West"/>
    <n v="2"/>
    <x v="1"/>
    <s v="Apr 2023"/>
  </r>
  <r>
    <s v="CUST018"/>
    <d v="2023-09-20T00:00:00"/>
    <n v="704.95"/>
    <s v="Home"/>
    <s v="South"/>
    <n v="3"/>
    <x v="1"/>
    <s v="Sept 2023"/>
  </r>
  <r>
    <s v="CUST018"/>
    <d v="2023-09-22T00:00:00"/>
    <n v="797.83"/>
    <s v="Home"/>
    <s v="South"/>
    <n v="4"/>
    <x v="1"/>
    <s v="Sept 2023"/>
  </r>
  <r>
    <s v="CUST018"/>
    <d v="2023-12-08T00:00:00"/>
    <n v="699.01"/>
    <s v="Home"/>
    <s v="South"/>
    <n v="5"/>
    <x v="2"/>
    <s v="Dec 2023"/>
  </r>
  <r>
    <s v="CUST018"/>
    <d v="2024-07-10T00:00:00"/>
    <n v="906.33"/>
    <s v="Books"/>
    <s v="South"/>
    <n v="6"/>
    <x v="2"/>
    <s v="Jul 2024"/>
  </r>
  <r>
    <s v="CUST018"/>
    <d v="2024-08-21T00:00:00"/>
    <n v="986.77"/>
    <s v="Books"/>
    <s v="West"/>
    <n v="7"/>
    <x v="2"/>
    <s v="Aug 2024"/>
  </r>
  <r>
    <s v="CUST019"/>
    <d v="2022-06-15T00:00:00"/>
    <n v="149.51"/>
    <s v="Health"/>
    <s v="North"/>
    <n v="0"/>
    <x v="0"/>
    <s v="Jun 2022"/>
  </r>
  <r>
    <s v="CUST019"/>
    <d v="2023-04-18T00:00:00"/>
    <n v="559.65"/>
    <s v="Books"/>
    <s v="West"/>
    <n v="1"/>
    <x v="1"/>
    <s v="Apr 2023"/>
  </r>
  <r>
    <s v="CUST019"/>
    <d v="2023-04-26T00:00:00"/>
    <n v="636.77"/>
    <s v="Electronics"/>
    <s v="North"/>
    <n v="2"/>
    <x v="1"/>
    <s v="Apr 2023"/>
  </r>
  <r>
    <s v="CUST019"/>
    <d v="2023-11-12T00:00:00"/>
    <n v="641.05999999999995"/>
    <s v="Clothing"/>
    <s v="North"/>
    <n v="3"/>
    <x v="1"/>
    <s v="Nov 2023"/>
  </r>
  <r>
    <s v="CUST019"/>
    <d v="2023-11-23T00:00:00"/>
    <n v="797.23"/>
    <s v="Home"/>
    <s v="South"/>
    <n v="4"/>
    <x v="1"/>
    <s v="Nov 2023"/>
  </r>
  <r>
    <s v="CUST019"/>
    <d v="2024-12-06T00:00:00"/>
    <n v="461.1"/>
    <s v="Clothing"/>
    <s v="East"/>
    <n v="5"/>
    <x v="2"/>
    <s v="Dec 2024"/>
  </r>
  <r>
    <s v="CUST020"/>
    <d v="2023-07-06T00:00:00"/>
    <n v="581.13"/>
    <s v="Books"/>
    <s v="East"/>
    <n v="0"/>
    <x v="0"/>
    <s v="Jul 2023"/>
  </r>
  <r>
    <s v="CUST020"/>
    <d v="2024-04-14T00:00:00"/>
    <n v="579.72"/>
    <s v="Home"/>
    <s v="West"/>
    <n v="1"/>
    <x v="1"/>
    <s v="Apr 2024"/>
  </r>
  <r>
    <s v="CUST021"/>
    <d v="2022-04-22T00:00:00"/>
    <n v="266.19"/>
    <s v="Clothing"/>
    <s v="West"/>
    <n v="0"/>
    <x v="0"/>
    <s v="Apr 2022"/>
  </r>
  <r>
    <s v="CUST021"/>
    <d v="2022-05-23T00:00:00"/>
    <n v="601.91999999999996"/>
    <s v="Books"/>
    <s v="North"/>
    <n v="1"/>
    <x v="1"/>
    <s v="May 2022"/>
  </r>
  <r>
    <s v="CUST021"/>
    <d v="2023-01-15T00:00:00"/>
    <n v="249.63"/>
    <s v="Health"/>
    <s v="East"/>
    <n v="2"/>
    <x v="1"/>
    <s v="Jan 2023"/>
  </r>
  <r>
    <s v="CUST021"/>
    <d v="2023-09-18T00:00:00"/>
    <n v="800.31"/>
    <s v="Home"/>
    <s v="West"/>
    <n v="3"/>
    <x v="1"/>
    <s v="Sept 2023"/>
  </r>
  <r>
    <s v="CUST021"/>
    <d v="2023-10-14T00:00:00"/>
    <n v="547.22"/>
    <s v="Electronics"/>
    <s v="South"/>
    <n v="4"/>
    <x v="1"/>
    <s v="Oct 2023"/>
  </r>
  <r>
    <s v="CUST022"/>
    <d v="2023-01-20T00:00:00"/>
    <n v="675.41"/>
    <s v="Home"/>
    <s v="North"/>
    <n v="0"/>
    <x v="0"/>
    <s v="Jan 2023"/>
  </r>
  <r>
    <s v="CUST022"/>
    <d v="2024-10-21T00:00:00"/>
    <n v="83.06"/>
    <s v="Electronics"/>
    <s v="West"/>
    <n v="1"/>
    <x v="1"/>
    <s v="Oct 2024"/>
  </r>
  <r>
    <s v="CUST023"/>
    <d v="2022-01-26T00:00:00"/>
    <n v="605.1"/>
    <s v="Books"/>
    <s v="South"/>
    <n v="0"/>
    <x v="0"/>
    <s v="Jan 2022"/>
  </r>
  <r>
    <s v="CUST024"/>
    <d v="2022-02-05T00:00:00"/>
    <n v="834.12"/>
    <s v="Electronics"/>
    <s v="South"/>
    <n v="0"/>
    <x v="0"/>
    <s v="Feb 2022"/>
  </r>
  <r>
    <s v="CUST024"/>
    <d v="2022-03-26T00:00:00"/>
    <n v="949.4"/>
    <s v="Home"/>
    <s v="East"/>
    <n v="1"/>
    <x v="1"/>
    <s v="Mar 2022"/>
  </r>
  <r>
    <s v="CUST024"/>
    <d v="2022-09-16T00:00:00"/>
    <n v="758"/>
    <s v="Home"/>
    <s v="North"/>
    <n v="2"/>
    <x v="1"/>
    <s v="Sept 2022"/>
  </r>
  <r>
    <s v="CUST024"/>
    <d v="2023-07-16T00:00:00"/>
    <n v="185.34"/>
    <s v="Health"/>
    <s v="South"/>
    <n v="3"/>
    <x v="1"/>
    <s v="Jul 2023"/>
  </r>
  <r>
    <s v="CUST024"/>
    <d v="2024-02-27T00:00:00"/>
    <n v="404.52"/>
    <s v="Clothing"/>
    <s v="North"/>
    <n v="4"/>
    <x v="1"/>
    <s v="Feb 2024"/>
  </r>
  <r>
    <s v="CUST024"/>
    <d v="2024-11-05T00:00:00"/>
    <n v="633.1"/>
    <s v="Electronics"/>
    <s v="North"/>
    <n v="5"/>
    <x v="2"/>
    <s v="Nov 2024"/>
  </r>
  <r>
    <s v="CUST025"/>
    <d v="2022-04-04T00:00:00"/>
    <n v="810.31"/>
    <s v="Books"/>
    <s v="South"/>
    <n v="0"/>
    <x v="0"/>
    <s v="Apr 2022"/>
  </r>
  <r>
    <s v="CUST025"/>
    <d v="2023-05-18T00:00:00"/>
    <n v="15.01"/>
    <s v="Electronics"/>
    <s v="South"/>
    <n v="1"/>
    <x v="1"/>
    <s v="May 2023"/>
  </r>
  <r>
    <s v="CUST025"/>
    <d v="2023-05-22T00:00:00"/>
    <n v="169.2"/>
    <s v="Electronics"/>
    <s v="East"/>
    <n v="2"/>
    <x v="1"/>
    <s v="May 2023"/>
  </r>
  <r>
    <s v="CUST026"/>
    <d v="2022-05-27T00:00:00"/>
    <n v="97.61"/>
    <s v="Home"/>
    <s v="North"/>
    <n v="0"/>
    <x v="0"/>
    <s v="May 2022"/>
  </r>
  <r>
    <s v="CUST026"/>
    <d v="2023-06-01T00:00:00"/>
    <n v="332.15"/>
    <s v="Home"/>
    <s v="East"/>
    <n v="1"/>
    <x v="1"/>
    <s v="Jun 2023"/>
  </r>
  <r>
    <s v="CUST026"/>
    <d v="2023-07-11T00:00:00"/>
    <n v="725.23"/>
    <s v="Clothing"/>
    <s v="East"/>
    <n v="2"/>
    <x v="1"/>
    <s v="Jul 2023"/>
  </r>
  <r>
    <s v="CUST026"/>
    <d v="2023-11-20T00:00:00"/>
    <n v="329.73"/>
    <s v="Electronics"/>
    <s v="East"/>
    <n v="3"/>
    <x v="1"/>
    <s v="Nov 2023"/>
  </r>
  <r>
    <s v="CUST027"/>
    <d v="2022-01-21T00:00:00"/>
    <n v="67.5"/>
    <s v="Home"/>
    <s v="East"/>
    <n v="0"/>
    <x v="0"/>
    <s v="Jan 2022"/>
  </r>
  <r>
    <s v="CUST027"/>
    <d v="2022-03-24T00:00:00"/>
    <n v="74.400000000000006"/>
    <s v="Electronics"/>
    <s v="West"/>
    <n v="1"/>
    <x v="1"/>
    <s v="Mar 2022"/>
  </r>
  <r>
    <s v="CUST027"/>
    <d v="2024-01-26T00:00:00"/>
    <n v="615.6"/>
    <s v="Electronics"/>
    <s v="East"/>
    <n v="2"/>
    <x v="1"/>
    <s v="Jan 2024"/>
  </r>
  <r>
    <s v="CUST027"/>
    <d v="2024-05-13T00:00:00"/>
    <n v="846.43"/>
    <s v="Electronics"/>
    <s v="South"/>
    <n v="3"/>
    <x v="1"/>
    <s v="May 2024"/>
  </r>
  <r>
    <s v="CUST028"/>
    <d v="2022-11-21T00:00:00"/>
    <n v="329.97"/>
    <s v="Clothing"/>
    <s v="North"/>
    <n v="0"/>
    <x v="0"/>
    <s v="Nov 2022"/>
  </r>
  <r>
    <s v="CUST028"/>
    <d v="2023-06-07T00:00:00"/>
    <n v="661.04"/>
    <s v="Electronics"/>
    <s v="East"/>
    <n v="1"/>
    <x v="1"/>
    <s v="Jun 2023"/>
  </r>
  <r>
    <s v="CUST028"/>
    <d v="2024-02-08T00:00:00"/>
    <n v="760.27"/>
    <s v="Electronics"/>
    <s v="East"/>
    <n v="2"/>
    <x v="1"/>
    <s v="Feb 2024"/>
  </r>
  <r>
    <s v="CUST028"/>
    <d v="2024-06-11T00:00:00"/>
    <n v="378.3"/>
    <s v="Health"/>
    <s v="South"/>
    <n v="3"/>
    <x v="1"/>
    <s v="Jun 2024"/>
  </r>
  <r>
    <s v="CUST028"/>
    <d v="2024-07-30T00:00:00"/>
    <n v="100.29"/>
    <s v="Home"/>
    <s v="North"/>
    <n v="4"/>
    <x v="1"/>
    <s v="Jul 2024"/>
  </r>
  <r>
    <s v="CUST029"/>
    <d v="2022-01-03T00:00:00"/>
    <n v="380.79"/>
    <s v="Clothing"/>
    <s v="East"/>
    <n v="0"/>
    <x v="0"/>
    <s v="Jan 2022"/>
  </r>
  <r>
    <s v="CUST029"/>
    <d v="2022-09-17T00:00:00"/>
    <n v="86.21"/>
    <s v="Books"/>
    <s v="South"/>
    <n v="1"/>
    <x v="1"/>
    <s v="Sept 2022"/>
  </r>
  <r>
    <s v="CUST029"/>
    <d v="2022-11-07T00:00:00"/>
    <n v="432.84"/>
    <s v="Health"/>
    <s v="East"/>
    <n v="2"/>
    <x v="1"/>
    <s v="Nov 2022"/>
  </r>
  <r>
    <s v="CUST029"/>
    <d v="2022-12-27T00:00:00"/>
    <n v="60.96"/>
    <s v="Clothing"/>
    <s v="North"/>
    <n v="3"/>
    <x v="1"/>
    <s v="Dec 2022"/>
  </r>
  <r>
    <s v="CUST029"/>
    <d v="2024-04-12T00:00:00"/>
    <n v="940.83"/>
    <s v="Electronics"/>
    <s v="East"/>
    <n v="4"/>
    <x v="1"/>
    <s v="Apr 2024"/>
  </r>
  <r>
    <s v="CUST030"/>
    <d v="2022-11-01T00:00:00"/>
    <n v="897.13"/>
    <s v="Electronics"/>
    <s v="West"/>
    <n v="0"/>
    <x v="0"/>
    <s v="Nov 2022"/>
  </r>
  <r>
    <s v="CUST030"/>
    <d v="2024-02-07T00:00:00"/>
    <n v="362.41"/>
    <s v="Health"/>
    <s v="East"/>
    <n v="1"/>
    <x v="1"/>
    <s v="Feb 2024"/>
  </r>
  <r>
    <s v="CUST030"/>
    <d v="2024-07-21T00:00:00"/>
    <n v="300.27999999999997"/>
    <s v="Home"/>
    <s v="West"/>
    <n v="2"/>
    <x v="1"/>
    <s v="Jul 2024"/>
  </r>
  <r>
    <s v="CUST030"/>
    <d v="2024-08-09T00:00:00"/>
    <n v="357.41"/>
    <s v="Electronics"/>
    <s v="South"/>
    <n v="3"/>
    <x v="1"/>
    <s v="Aug 2024"/>
  </r>
  <r>
    <s v="CUST031"/>
    <d v="2023-03-26T00:00:00"/>
    <n v="392.87"/>
    <s v="Health"/>
    <s v="North"/>
    <n v="0"/>
    <x v="0"/>
    <s v="Mar 2023"/>
  </r>
  <r>
    <s v="CUST031"/>
    <d v="2023-10-01T00:00:00"/>
    <n v="381.83"/>
    <s v="Clothing"/>
    <s v="North"/>
    <n v="1"/>
    <x v="1"/>
    <s v="Oct 2023"/>
  </r>
  <r>
    <s v="CUST032"/>
    <d v="2022-04-20T00:00:00"/>
    <n v="44.04"/>
    <s v="Health"/>
    <s v="West"/>
    <n v="0"/>
    <x v="0"/>
    <s v="Apr 2022"/>
  </r>
  <r>
    <s v="CUST032"/>
    <d v="2024-08-27T00:00:00"/>
    <n v="814.67"/>
    <s v="Health"/>
    <s v="South"/>
    <n v="1"/>
    <x v="1"/>
    <s v="Aug 2024"/>
  </r>
  <r>
    <s v="CUST033"/>
    <d v="2023-01-28T00:00:00"/>
    <n v="374.11"/>
    <s v="Electronics"/>
    <s v="North"/>
    <n v="0"/>
    <x v="0"/>
    <s v="Jan 2023"/>
  </r>
  <r>
    <s v="CUST033"/>
    <d v="2023-01-30T00:00:00"/>
    <n v="635.98"/>
    <s v="Clothing"/>
    <s v="East"/>
    <n v="1"/>
    <x v="1"/>
    <s v="Jan 2023"/>
  </r>
  <r>
    <s v="CUST033"/>
    <d v="2024-04-29T00:00:00"/>
    <n v="203.83"/>
    <s v="Electronics"/>
    <s v="North"/>
    <n v="2"/>
    <x v="1"/>
    <s v="Apr 2024"/>
  </r>
  <r>
    <s v="CUST033"/>
    <d v="2024-09-17T00:00:00"/>
    <n v="907.29"/>
    <s v="Clothing"/>
    <s v="East"/>
    <n v="3"/>
    <x v="1"/>
    <s v="Sept 2024"/>
  </r>
  <r>
    <s v="CUST034"/>
    <d v="2023-05-08T00:00:00"/>
    <n v="645.61"/>
    <s v="Books"/>
    <s v="East"/>
    <n v="0"/>
    <x v="0"/>
    <s v="May 2023"/>
  </r>
  <r>
    <s v="CUST034"/>
    <d v="2023-11-07T00:00:00"/>
    <n v="94.49"/>
    <s v="Health"/>
    <s v="South"/>
    <n v="1"/>
    <x v="1"/>
    <s v="Nov 2023"/>
  </r>
  <r>
    <s v="CUST034"/>
    <d v="2023-11-30T00:00:00"/>
    <n v="963.02"/>
    <s v="Books"/>
    <s v="East"/>
    <n v="2"/>
    <x v="1"/>
    <s v="Nov 2023"/>
  </r>
  <r>
    <s v="CUST034"/>
    <d v="2024-03-23T00:00:00"/>
    <n v="508.1"/>
    <s v="Health"/>
    <s v="South"/>
    <n v="3"/>
    <x v="1"/>
    <s v="Mar 2024"/>
  </r>
  <r>
    <s v="CUST035"/>
    <d v="2024-01-26T00:00:00"/>
    <n v="425.4"/>
    <s v="Clothing"/>
    <s v="South"/>
    <n v="0"/>
    <x v="0"/>
    <s v="Jan 2024"/>
  </r>
  <r>
    <s v="CUST036"/>
    <d v="2022-01-20T00:00:00"/>
    <n v="164.43"/>
    <s v="Home"/>
    <s v="North"/>
    <n v="0"/>
    <x v="0"/>
    <s v="Jan 2022"/>
  </r>
  <r>
    <s v="CUST036"/>
    <d v="2022-08-22T00:00:00"/>
    <n v="565.66"/>
    <s v="Books"/>
    <s v="South"/>
    <n v="1"/>
    <x v="1"/>
    <s v="Aug 2022"/>
  </r>
  <r>
    <s v="CUST036"/>
    <d v="2022-09-06T00:00:00"/>
    <n v="908.49"/>
    <s v="Books"/>
    <s v="North"/>
    <n v="2"/>
    <x v="1"/>
    <s v="Sept 2022"/>
  </r>
  <r>
    <s v="CUST036"/>
    <d v="2023-06-26T00:00:00"/>
    <n v="973.28"/>
    <s v="Clothing"/>
    <s v="North"/>
    <n v="3"/>
    <x v="1"/>
    <s v="Jun 2023"/>
  </r>
  <r>
    <s v="CUST037"/>
    <d v="2022-08-10T00:00:00"/>
    <n v="716.11"/>
    <s v="Health"/>
    <s v="East"/>
    <n v="0"/>
    <x v="0"/>
    <s v="Aug 2022"/>
  </r>
  <r>
    <s v="CUST038"/>
    <d v="2024-04-23T00:00:00"/>
    <n v="961.58"/>
    <s v="Electronics"/>
    <s v="East"/>
    <n v="0"/>
    <x v="0"/>
    <s v="Apr 2024"/>
  </r>
  <r>
    <s v="CUST038"/>
    <d v="2024-11-26T00:00:00"/>
    <n v="902.15"/>
    <s v="Health"/>
    <s v="East"/>
    <n v="1"/>
    <x v="1"/>
    <s v="Nov 2024"/>
  </r>
  <r>
    <s v="CUST038"/>
    <d v="2024-12-29T00:00:00"/>
    <n v="986.35"/>
    <s v="Books"/>
    <s v="North"/>
    <n v="2"/>
    <x v="1"/>
    <s v="Dec 2024"/>
  </r>
  <r>
    <s v="CUST039"/>
    <d v="2024-04-15T00:00:00"/>
    <n v="394.29"/>
    <s v="Health"/>
    <s v="North"/>
    <n v="0"/>
    <x v="0"/>
    <s v="Apr 2024"/>
  </r>
  <r>
    <s v="CUST040"/>
    <d v="2022-03-17T00:00:00"/>
    <n v="55.99"/>
    <s v="Health"/>
    <s v="West"/>
    <n v="0"/>
    <x v="0"/>
    <s v="Mar 2022"/>
  </r>
  <r>
    <s v="CUST040"/>
    <d v="2022-09-19T00:00:00"/>
    <n v="296.85000000000002"/>
    <s v="Books"/>
    <s v="East"/>
    <n v="1"/>
    <x v="1"/>
    <s v="Sept 2022"/>
  </r>
  <r>
    <s v="CUST040"/>
    <d v="2022-12-05T00:00:00"/>
    <n v="972.06"/>
    <s v="Home"/>
    <s v="West"/>
    <n v="2"/>
    <x v="1"/>
    <s v="Dec 2022"/>
  </r>
  <r>
    <s v="CUST040"/>
    <d v="2023-08-14T00:00:00"/>
    <n v="574.36"/>
    <s v="Electronics"/>
    <s v="West"/>
    <n v="3"/>
    <x v="1"/>
    <s v="Aug 2023"/>
  </r>
  <r>
    <s v="CUST040"/>
    <d v="2024-02-16T00:00:00"/>
    <n v="124.91"/>
    <s v="Clothing"/>
    <s v="South"/>
    <n v="4"/>
    <x v="1"/>
    <s v="Feb 2024"/>
  </r>
  <r>
    <s v="CUST040"/>
    <d v="2024-05-21T00:00:00"/>
    <n v="126.98"/>
    <s v="Books"/>
    <s v="East"/>
    <n v="5"/>
    <x v="2"/>
    <s v="May 2024"/>
  </r>
  <r>
    <s v="CUST041"/>
    <d v="2022-03-05T00:00:00"/>
    <n v="787.32"/>
    <s v="Electronics"/>
    <s v="South"/>
    <n v="0"/>
    <x v="0"/>
    <s v="Mar 2022"/>
  </r>
  <r>
    <s v="CUST041"/>
    <d v="2022-09-26T00:00:00"/>
    <n v="169.61"/>
    <s v="Clothing"/>
    <s v="West"/>
    <n v="1"/>
    <x v="1"/>
    <s v="Sept 2022"/>
  </r>
  <r>
    <s v="CUST041"/>
    <d v="2022-11-09T00:00:00"/>
    <n v="16.88"/>
    <s v="Home"/>
    <s v="East"/>
    <n v="2"/>
    <x v="1"/>
    <s v="Nov 2022"/>
  </r>
  <r>
    <s v="CUST041"/>
    <d v="2023-09-12T00:00:00"/>
    <n v="914.11"/>
    <s v="Home"/>
    <s v="East"/>
    <n v="3"/>
    <x v="1"/>
    <s v="Sept 2023"/>
  </r>
  <r>
    <s v="CUST041"/>
    <d v="2023-12-18T00:00:00"/>
    <n v="257.74"/>
    <s v="Home"/>
    <s v="North"/>
    <n v="4"/>
    <x v="1"/>
    <s v="Dec 2023"/>
  </r>
  <r>
    <s v="CUST041"/>
    <d v="2024-06-11T00:00:00"/>
    <n v="418.49"/>
    <s v="Electronics"/>
    <s v="North"/>
    <n v="5"/>
    <x v="2"/>
    <s v="Jun 2024"/>
  </r>
  <r>
    <s v="CUST042"/>
    <d v="2022-06-05T00:00:00"/>
    <n v="278.64"/>
    <s v="Health"/>
    <s v="West"/>
    <n v="0"/>
    <x v="0"/>
    <s v="Jun 2022"/>
  </r>
  <r>
    <s v="CUST042"/>
    <d v="2022-06-24T00:00:00"/>
    <n v="774.52"/>
    <s v="Clothing"/>
    <s v="East"/>
    <n v="1"/>
    <x v="1"/>
    <s v="Jun 2022"/>
  </r>
  <r>
    <s v="CUST042"/>
    <d v="2022-12-07T00:00:00"/>
    <n v="259.26"/>
    <s v="Health"/>
    <s v="South"/>
    <n v="2"/>
    <x v="1"/>
    <s v="Dec 2022"/>
  </r>
  <r>
    <s v="CUST042"/>
    <d v="2024-03-31T00:00:00"/>
    <n v="662.11"/>
    <s v="Electronics"/>
    <s v="East"/>
    <n v="3"/>
    <x v="1"/>
    <s v="Mar 2024"/>
  </r>
  <r>
    <s v="CUST042"/>
    <d v="2024-05-27T00:00:00"/>
    <n v="632.65"/>
    <s v="Electronics"/>
    <s v="West"/>
    <n v="4"/>
    <x v="1"/>
    <s v="May 2024"/>
  </r>
  <r>
    <s v="CUST043"/>
    <d v="2023-02-11T00:00:00"/>
    <n v="99.39"/>
    <s v="Electronics"/>
    <s v="East"/>
    <n v="0"/>
    <x v="0"/>
    <s v="Feb 2023"/>
  </r>
  <r>
    <s v="CUST043"/>
    <d v="2023-07-20T00:00:00"/>
    <n v="954.39"/>
    <s v="Home"/>
    <s v="West"/>
    <n v="1"/>
    <x v="1"/>
    <s v="Jul 2023"/>
  </r>
  <r>
    <s v="CUST043"/>
    <d v="2023-07-27T00:00:00"/>
    <n v="963.98"/>
    <s v="Health"/>
    <s v="East"/>
    <n v="2"/>
    <x v="1"/>
    <s v="Jul 2023"/>
  </r>
  <r>
    <s v="CUST044"/>
    <d v="2022-06-16T00:00:00"/>
    <n v="804.18"/>
    <s v="Books"/>
    <s v="West"/>
    <n v="0"/>
    <x v="0"/>
    <s v="Jun 2022"/>
  </r>
  <r>
    <s v="CUST044"/>
    <d v="2024-10-17T00:00:00"/>
    <n v="993.04"/>
    <s v="Health"/>
    <s v="West"/>
    <n v="1"/>
    <x v="1"/>
    <s v="Oct 2024"/>
  </r>
  <r>
    <s v="CUST045"/>
    <d v="2024-09-19T00:00:00"/>
    <n v="473.97"/>
    <s v="Home"/>
    <s v="East"/>
    <n v="0"/>
    <x v="0"/>
    <s v="Sept 2024"/>
  </r>
  <r>
    <s v="CUST046"/>
    <d v="2022-11-18T00:00:00"/>
    <n v="344.24"/>
    <s v="Electronics"/>
    <s v="East"/>
    <n v="0"/>
    <x v="0"/>
    <s v="Nov 2022"/>
  </r>
  <r>
    <s v="CUST046"/>
    <d v="2024-05-27T00:00:00"/>
    <n v="878.7"/>
    <s v="Books"/>
    <s v="North"/>
    <n v="1"/>
    <x v="1"/>
    <s v="May 2024"/>
  </r>
  <r>
    <s v="CUST046"/>
    <d v="2024-06-03T00:00:00"/>
    <n v="289.20999999999998"/>
    <s v="Clothing"/>
    <s v="East"/>
    <n v="2"/>
    <x v="1"/>
    <s v="Jun 2024"/>
  </r>
  <r>
    <s v="CUST046"/>
    <d v="2024-07-24T00:00:00"/>
    <n v="675.79"/>
    <s v="Books"/>
    <s v="West"/>
    <n v="3"/>
    <x v="1"/>
    <s v="Jul 2024"/>
  </r>
  <r>
    <s v="CUST047"/>
    <d v="2023-06-29T00:00:00"/>
    <n v="893.13"/>
    <s v="Electronics"/>
    <s v="West"/>
    <n v="0"/>
    <x v="0"/>
    <s v="Jun 2023"/>
  </r>
  <r>
    <s v="CUST048"/>
    <d v="2023-09-20T00:00:00"/>
    <n v="653.46"/>
    <s v="Home"/>
    <s v="East"/>
    <n v="0"/>
    <x v="0"/>
    <s v="Sept 2023"/>
  </r>
  <r>
    <s v="CUST049"/>
    <d v="2023-05-16T00:00:00"/>
    <n v="666.87"/>
    <s v="Books"/>
    <s v="North"/>
    <n v="0"/>
    <x v="0"/>
    <s v="May 2023"/>
  </r>
  <r>
    <s v="CUST049"/>
    <d v="2023-06-15T00:00:00"/>
    <n v="374.04"/>
    <s v="Home"/>
    <s v="East"/>
    <n v="1"/>
    <x v="1"/>
    <s v="Jun 2023"/>
  </r>
  <r>
    <s v="CUST049"/>
    <d v="2023-08-15T00:00:00"/>
    <n v="106.2"/>
    <s v="Home"/>
    <s v="North"/>
    <n v="2"/>
    <x v="1"/>
    <s v="Aug 2023"/>
  </r>
  <r>
    <s v="CUST049"/>
    <d v="2024-08-10T00:00:00"/>
    <n v="763.9"/>
    <s v="Books"/>
    <s v="South"/>
    <n v="3"/>
    <x v="1"/>
    <s v="Aug 2024"/>
  </r>
  <r>
    <s v="CUST050"/>
    <d v="2022-05-12T00:00:00"/>
    <n v="193.01"/>
    <s v="Electronics"/>
    <s v="East"/>
    <n v="0"/>
    <x v="0"/>
    <s v="May 2022"/>
  </r>
  <r>
    <s v="CUST050"/>
    <d v="2023-06-14T00:00:00"/>
    <n v="102.74"/>
    <s v="Books"/>
    <s v="East"/>
    <n v="1"/>
    <x v="1"/>
    <s v="Jun 2023"/>
  </r>
  <r>
    <s v="CUST050"/>
    <d v="2024-06-27T00:00:00"/>
    <n v="326.85000000000002"/>
    <s v="Health"/>
    <s v="South"/>
    <n v="2"/>
    <x v="1"/>
    <s v="Jun 2024"/>
  </r>
  <r>
    <s v="CUST050"/>
    <d v="2024-09-18T00:00:00"/>
    <n v="120.09"/>
    <s v="Electronics"/>
    <s v="South"/>
    <n v="3"/>
    <x v="1"/>
    <s v="Sept 2024"/>
  </r>
  <r>
    <s v="CUST050"/>
    <d v="2024-12-23T00:00:00"/>
    <n v="469.06"/>
    <s v="Clothing"/>
    <s v="South"/>
    <n v="4"/>
    <x v="1"/>
    <s v="Dec 2024"/>
  </r>
  <r>
    <s v="CUST051"/>
    <d v="2022-02-22T00:00:00"/>
    <n v="437.63"/>
    <s v="Home"/>
    <s v="North"/>
    <n v="0"/>
    <x v="0"/>
    <s v="Feb 2022"/>
  </r>
  <r>
    <s v="CUST051"/>
    <d v="2022-12-02T00:00:00"/>
    <n v="369.99"/>
    <s v="Clothing"/>
    <s v="South"/>
    <n v="1"/>
    <x v="1"/>
    <s v="Dec 2022"/>
  </r>
  <r>
    <s v="CUST051"/>
    <d v="2024-08-20T00:00:00"/>
    <n v="709.18"/>
    <s v="Health"/>
    <s v="North"/>
    <n v="2"/>
    <x v="1"/>
    <s v="Aug 2024"/>
  </r>
  <r>
    <s v="CUST051"/>
    <d v="2024-11-24T00:00:00"/>
    <n v="588.47"/>
    <s v="Home"/>
    <s v="West"/>
    <n v="3"/>
    <x v="1"/>
    <s v="Nov 2024"/>
  </r>
  <r>
    <s v="CUST052"/>
    <d v="2023-03-09T00:00:00"/>
    <n v="680.79"/>
    <s v="Health"/>
    <s v="South"/>
    <n v="0"/>
    <x v="0"/>
    <s v="Mar 2023"/>
  </r>
  <r>
    <s v="CUST052"/>
    <d v="2024-06-20T00:00:00"/>
    <n v="434.7"/>
    <s v="Clothing"/>
    <s v="East"/>
    <n v="1"/>
    <x v="1"/>
    <s v="Jun 2024"/>
  </r>
  <r>
    <s v="CUST053"/>
    <d v="2023-10-27T00:00:00"/>
    <n v="135.79"/>
    <s v="Home"/>
    <s v="South"/>
    <n v="0"/>
    <x v="0"/>
    <s v="Oct 2023"/>
  </r>
  <r>
    <s v="CUST053"/>
    <d v="2024-02-19T00:00:00"/>
    <n v="479.43"/>
    <s v="Home"/>
    <s v="West"/>
    <n v="1"/>
    <x v="1"/>
    <s v="Feb 2024"/>
  </r>
  <r>
    <s v="CUST054"/>
    <d v="2022-06-14T00:00:00"/>
    <n v="288.13"/>
    <s v="Home"/>
    <s v="West"/>
    <n v="0"/>
    <x v="0"/>
    <s v="Jun 2022"/>
  </r>
  <r>
    <s v="CUST054"/>
    <d v="2024-02-18T00:00:00"/>
    <n v="856.91"/>
    <s v="Clothing"/>
    <s v="East"/>
    <n v="1"/>
    <x v="1"/>
    <s v="Feb 2024"/>
  </r>
  <r>
    <s v="CUST054"/>
    <d v="2024-05-10T00:00:00"/>
    <n v="80.48"/>
    <s v="Electronics"/>
    <s v="North"/>
    <n v="2"/>
    <x v="1"/>
    <s v="May 2024"/>
  </r>
  <r>
    <s v="CUST054"/>
    <d v="2024-10-02T00:00:00"/>
    <n v="381.12"/>
    <s v="Health"/>
    <s v="East"/>
    <n v="3"/>
    <x v="1"/>
    <s v="Oct 2024"/>
  </r>
  <r>
    <s v="CUST055"/>
    <d v="2022-07-25T00:00:00"/>
    <n v="317.87"/>
    <s v="Electronics"/>
    <s v="West"/>
    <n v="0"/>
    <x v="0"/>
    <s v="Jul 2022"/>
  </r>
  <r>
    <s v="CUST055"/>
    <d v="2022-08-03T00:00:00"/>
    <n v="641.17999999999995"/>
    <s v="Books"/>
    <s v="West"/>
    <n v="1"/>
    <x v="1"/>
    <s v="Aug 2022"/>
  </r>
  <r>
    <s v="CUST055"/>
    <d v="2023-02-28T00:00:00"/>
    <n v="50.37"/>
    <s v="Home"/>
    <s v="West"/>
    <n v="2"/>
    <x v="1"/>
    <s v="Feb 2023"/>
  </r>
  <r>
    <s v="CUST055"/>
    <d v="2023-05-06T00:00:00"/>
    <n v="888.22"/>
    <s v="Health"/>
    <s v="North"/>
    <n v="3"/>
    <x v="1"/>
    <s v="May 2023"/>
  </r>
  <r>
    <s v="CUST055"/>
    <d v="2023-07-24T00:00:00"/>
    <n v="929.04"/>
    <s v="Books"/>
    <s v="East"/>
    <n v="4"/>
    <x v="1"/>
    <s v="Jul 2023"/>
  </r>
  <r>
    <s v="CUST055"/>
    <d v="2023-11-28T00:00:00"/>
    <n v="444.58"/>
    <s v="Books"/>
    <s v="North"/>
    <n v="5"/>
    <x v="2"/>
    <s v="Nov 2023"/>
  </r>
  <r>
    <s v="CUST055"/>
    <d v="2024-10-11T00:00:00"/>
    <n v="52.73"/>
    <s v="Books"/>
    <s v="East"/>
    <n v="6"/>
    <x v="2"/>
    <s v="Oct 2024"/>
  </r>
  <r>
    <s v="CUST056"/>
    <d v="2022-02-09T00:00:00"/>
    <n v="220.22"/>
    <s v="Health"/>
    <s v="South"/>
    <n v="0"/>
    <x v="0"/>
    <s v="Feb 2022"/>
  </r>
  <r>
    <s v="CUST056"/>
    <d v="2022-03-23T00:00:00"/>
    <n v="611.47"/>
    <s v="Home"/>
    <s v="East"/>
    <n v="1"/>
    <x v="1"/>
    <s v="Mar 2022"/>
  </r>
  <r>
    <s v="CUST056"/>
    <d v="2023-08-21T00:00:00"/>
    <n v="990.15"/>
    <s v="Home"/>
    <s v="East"/>
    <n v="2"/>
    <x v="1"/>
    <s v="Aug 2023"/>
  </r>
  <r>
    <s v="CUST057"/>
    <d v="2022-02-28T00:00:00"/>
    <n v="148.1"/>
    <s v="Health"/>
    <s v="South"/>
    <n v="0"/>
    <x v="0"/>
    <s v="Feb 2022"/>
  </r>
  <r>
    <s v="CUST057"/>
    <d v="2022-07-06T00:00:00"/>
    <n v="731.72"/>
    <s v="Home"/>
    <s v="South"/>
    <n v="1"/>
    <x v="1"/>
    <s v="Jul 2022"/>
  </r>
  <r>
    <s v="CUST057"/>
    <d v="2022-09-06T00:00:00"/>
    <n v="513.48"/>
    <s v="Health"/>
    <s v="West"/>
    <n v="2"/>
    <x v="1"/>
    <s v="Sept 2022"/>
  </r>
  <r>
    <s v="CUST057"/>
    <d v="2023-04-11T00:00:00"/>
    <n v="663.38"/>
    <s v="Electronics"/>
    <s v="East"/>
    <n v="3"/>
    <x v="1"/>
    <s v="Apr 2023"/>
  </r>
  <r>
    <s v="CUST057"/>
    <d v="2024-06-19T00:00:00"/>
    <n v="859.83"/>
    <s v="Home"/>
    <s v="East"/>
    <n v="4"/>
    <x v="1"/>
    <s v="Jun 2024"/>
  </r>
  <r>
    <s v="CUST058"/>
    <d v="2022-01-13T00:00:00"/>
    <n v="164.46"/>
    <s v="Health"/>
    <s v="East"/>
    <n v="0"/>
    <x v="0"/>
    <s v="Jan 2022"/>
  </r>
  <r>
    <s v="CUST058"/>
    <d v="2023-03-30T00:00:00"/>
    <n v="146.15"/>
    <s v="Books"/>
    <s v="South"/>
    <n v="1"/>
    <x v="1"/>
    <s v="Mar 2023"/>
  </r>
  <r>
    <s v="CUST058"/>
    <d v="2024-06-25T00:00:00"/>
    <n v="510.2"/>
    <s v="Clothing"/>
    <s v="North"/>
    <n v="2"/>
    <x v="1"/>
    <s v="Jun 2024"/>
  </r>
  <r>
    <s v="CUST058"/>
    <d v="2024-11-19T00:00:00"/>
    <n v="631.28"/>
    <s v="Home"/>
    <s v="East"/>
    <n v="3"/>
    <x v="1"/>
    <s v="Nov 2024"/>
  </r>
  <r>
    <s v="CUST059"/>
    <d v="2022-05-21T00:00:00"/>
    <n v="940.1"/>
    <s v="Clothing"/>
    <s v="East"/>
    <n v="0"/>
    <x v="0"/>
    <s v="May 2022"/>
  </r>
  <r>
    <s v="CUST059"/>
    <d v="2022-07-10T00:00:00"/>
    <n v="364.88"/>
    <s v="Electronics"/>
    <s v="North"/>
    <n v="1"/>
    <x v="1"/>
    <s v="Jul 2022"/>
  </r>
  <r>
    <s v="CUST059"/>
    <d v="2023-04-11T00:00:00"/>
    <n v="265.36"/>
    <s v="Books"/>
    <s v="East"/>
    <n v="2"/>
    <x v="1"/>
    <s v="Apr 2023"/>
  </r>
  <r>
    <s v="CUST059"/>
    <d v="2023-04-20T00:00:00"/>
    <n v="249.43"/>
    <s v="Electronics"/>
    <s v="South"/>
    <n v="3"/>
    <x v="1"/>
    <s v="Apr 2023"/>
  </r>
  <r>
    <s v="CUST059"/>
    <d v="2024-06-24T00:00:00"/>
    <n v="903.53"/>
    <s v="Home"/>
    <s v="North"/>
    <n v="4"/>
    <x v="1"/>
    <s v="Jun 2024"/>
  </r>
  <r>
    <s v="CUST060"/>
    <d v="2022-02-10T00:00:00"/>
    <n v="190.01"/>
    <s v="Books"/>
    <s v="South"/>
    <n v="0"/>
    <x v="0"/>
    <s v="Feb 2022"/>
  </r>
  <r>
    <s v="CUST060"/>
    <d v="2022-05-26T00:00:00"/>
    <n v="922.66"/>
    <s v="Health"/>
    <s v="East"/>
    <n v="1"/>
    <x v="1"/>
    <s v="May 2022"/>
  </r>
  <r>
    <s v="CUST061"/>
    <d v="2023-05-04T00:00:00"/>
    <n v="355.72"/>
    <s v="Home"/>
    <s v="West"/>
    <n v="0"/>
    <x v="0"/>
    <s v="May 2023"/>
  </r>
  <r>
    <s v="CUST061"/>
    <d v="2023-07-17T00:00:00"/>
    <n v="941.05"/>
    <s v="Health"/>
    <s v="North"/>
    <n v="1"/>
    <x v="1"/>
    <s v="Jul 2023"/>
  </r>
  <r>
    <s v="CUST061"/>
    <d v="2023-09-29T00:00:00"/>
    <n v="891.11"/>
    <s v="Electronics"/>
    <s v="South"/>
    <n v="2"/>
    <x v="1"/>
    <s v="Sept 2023"/>
  </r>
  <r>
    <s v="CUST061"/>
    <d v="2024-05-23T00:00:00"/>
    <n v="699.77"/>
    <s v="Health"/>
    <s v="North"/>
    <n v="3"/>
    <x v="1"/>
    <s v="May 2024"/>
  </r>
  <r>
    <s v="CUST061"/>
    <d v="2024-11-06T00:00:00"/>
    <n v="698.79"/>
    <s v="Health"/>
    <s v="East"/>
    <n v="4"/>
    <x v="1"/>
    <s v="Nov 2024"/>
  </r>
  <r>
    <s v="CUST062"/>
    <d v="2023-01-07T00:00:00"/>
    <n v="247.17"/>
    <s v="Clothing"/>
    <s v="East"/>
    <n v="0"/>
    <x v="0"/>
    <s v="Jan 2023"/>
  </r>
  <r>
    <s v="CUST062"/>
    <d v="2023-01-08T00:00:00"/>
    <n v="494.56"/>
    <s v="Home"/>
    <s v="West"/>
    <n v="1"/>
    <x v="1"/>
    <s v="Jan 2023"/>
  </r>
  <r>
    <s v="CUST062"/>
    <d v="2023-11-01T00:00:00"/>
    <n v="772.29"/>
    <s v="Home"/>
    <s v="South"/>
    <n v="2"/>
    <x v="1"/>
    <s v="Nov 2023"/>
  </r>
  <r>
    <s v="CUST063"/>
    <d v="2022-01-12T00:00:00"/>
    <n v="602.66999999999996"/>
    <s v="Home"/>
    <s v="West"/>
    <n v="0"/>
    <x v="0"/>
    <s v="Jan 2022"/>
  </r>
  <r>
    <s v="CUST063"/>
    <d v="2022-06-21T00:00:00"/>
    <n v="987.02"/>
    <s v="Electronics"/>
    <s v="West"/>
    <n v="1"/>
    <x v="1"/>
    <s v="Jun 2022"/>
  </r>
  <r>
    <s v="CUST063"/>
    <d v="2023-05-14T00:00:00"/>
    <n v="610.36"/>
    <s v="Books"/>
    <s v="West"/>
    <n v="2"/>
    <x v="1"/>
    <s v="May 2023"/>
  </r>
  <r>
    <s v="CUST063"/>
    <d v="2023-12-09T00:00:00"/>
    <n v="414.86"/>
    <s v="Clothing"/>
    <s v="West"/>
    <n v="3"/>
    <x v="1"/>
    <s v="Dec 2023"/>
  </r>
  <r>
    <s v="CUST063"/>
    <d v="2024-12-03T00:00:00"/>
    <n v="950.91"/>
    <s v="Electronics"/>
    <s v="South"/>
    <n v="4"/>
    <x v="1"/>
    <s v="Dec 2024"/>
  </r>
  <r>
    <s v="CUST063"/>
    <d v="2024-12-29T00:00:00"/>
    <n v="974.65"/>
    <s v="Health"/>
    <s v="North"/>
    <n v="5"/>
    <x v="2"/>
    <s v="Dec 2024"/>
  </r>
  <r>
    <s v="CUST064"/>
    <d v="2022-08-23T00:00:00"/>
    <n v="773.26"/>
    <s v="Books"/>
    <s v="West"/>
    <n v="0"/>
    <x v="0"/>
    <s v="Aug 2022"/>
  </r>
  <r>
    <s v="CUST064"/>
    <d v="2023-03-28T00:00:00"/>
    <n v="937.36"/>
    <s v="Home"/>
    <s v="West"/>
    <n v="1"/>
    <x v="1"/>
    <s v="Mar 2023"/>
  </r>
  <r>
    <s v="CUST064"/>
    <d v="2023-06-09T00:00:00"/>
    <n v="572.63"/>
    <s v="Home"/>
    <s v="West"/>
    <n v="2"/>
    <x v="1"/>
    <s v="Jun 2023"/>
  </r>
  <r>
    <s v="CUST064"/>
    <d v="2023-07-04T00:00:00"/>
    <n v="507.61"/>
    <s v="Electronics"/>
    <s v="East"/>
    <n v="3"/>
    <x v="1"/>
    <s v="Jul 2023"/>
  </r>
  <r>
    <s v="CUST064"/>
    <d v="2023-10-09T00:00:00"/>
    <n v="582.5"/>
    <s v="Books"/>
    <s v="South"/>
    <n v="4"/>
    <x v="1"/>
    <s v="Oct 2023"/>
  </r>
  <r>
    <s v="CUST064"/>
    <d v="2024-05-10T00:00:00"/>
    <n v="325.79000000000002"/>
    <s v="Books"/>
    <s v="West"/>
    <n v="5"/>
    <x v="2"/>
    <s v="May 2024"/>
  </r>
  <r>
    <s v="CUST064"/>
    <d v="2024-06-10T00:00:00"/>
    <n v="808.77"/>
    <s v="Electronics"/>
    <s v="West"/>
    <n v="6"/>
    <x v="2"/>
    <s v="Jun 2024"/>
  </r>
  <r>
    <s v="CUST065"/>
    <d v="2022-10-23T00:00:00"/>
    <n v="893.63"/>
    <s v="Books"/>
    <s v="East"/>
    <n v="0"/>
    <x v="0"/>
    <s v="Oct 2022"/>
  </r>
  <r>
    <s v="CUST065"/>
    <d v="2024-02-24T00:00:00"/>
    <n v="181.47"/>
    <s v="Books"/>
    <s v="South"/>
    <n v="1"/>
    <x v="1"/>
    <s v="Feb 2024"/>
  </r>
  <r>
    <s v="CUST066"/>
    <d v="2024-08-10T00:00:00"/>
    <n v="622.04"/>
    <s v="Electronics"/>
    <s v="West"/>
    <n v="0"/>
    <x v="0"/>
    <s v="Aug 2024"/>
  </r>
  <r>
    <s v="CUST067"/>
    <d v="2023-10-25T00:00:00"/>
    <n v="366.59"/>
    <s v="Books"/>
    <s v="East"/>
    <n v="0"/>
    <x v="0"/>
    <s v="Oct 2023"/>
  </r>
  <r>
    <s v="CUST067"/>
    <d v="2024-07-23T00:00:00"/>
    <n v="335.38"/>
    <s v="Clothing"/>
    <s v="East"/>
    <n v="1"/>
    <x v="1"/>
    <s v="Jul 2024"/>
  </r>
  <r>
    <s v="CUST068"/>
    <d v="2022-04-13T00:00:00"/>
    <n v="687.39"/>
    <s v="Clothing"/>
    <s v="West"/>
    <n v="0"/>
    <x v="0"/>
    <s v="Apr 2022"/>
  </r>
  <r>
    <s v="CUST068"/>
    <d v="2022-08-21T00:00:00"/>
    <n v="763.18"/>
    <s v="Clothing"/>
    <s v="South"/>
    <n v="1"/>
    <x v="1"/>
    <s v="Aug 2022"/>
  </r>
  <r>
    <s v="CUST068"/>
    <d v="2022-08-26T00:00:00"/>
    <n v="433.27"/>
    <s v="Books"/>
    <s v="South"/>
    <n v="2"/>
    <x v="1"/>
    <s v="Aug 2022"/>
  </r>
  <r>
    <s v="CUST068"/>
    <d v="2022-11-13T00:00:00"/>
    <n v="229.89"/>
    <s v="Health"/>
    <s v="South"/>
    <n v="3"/>
    <x v="1"/>
    <s v="Nov 2022"/>
  </r>
  <r>
    <s v="CUST068"/>
    <d v="2023-02-12T00:00:00"/>
    <n v="836.95"/>
    <s v="Electronics"/>
    <s v="West"/>
    <n v="4"/>
    <x v="1"/>
    <s v="Feb 2023"/>
  </r>
  <r>
    <s v="CUST068"/>
    <d v="2023-08-06T00:00:00"/>
    <n v="852.63"/>
    <s v="Health"/>
    <s v="East"/>
    <n v="5"/>
    <x v="2"/>
    <s v="Aug 2023"/>
  </r>
  <r>
    <s v="CUST068"/>
    <d v="2023-11-02T00:00:00"/>
    <n v="223.66"/>
    <s v="Home"/>
    <s v="East"/>
    <n v="6"/>
    <x v="2"/>
    <s v="Nov 2023"/>
  </r>
  <r>
    <s v="CUST068"/>
    <d v="2023-11-29T00:00:00"/>
    <n v="35.1"/>
    <s v="Health"/>
    <s v="East"/>
    <n v="7"/>
    <x v="2"/>
    <s v="Nov 2023"/>
  </r>
  <r>
    <s v="CUST068"/>
    <d v="2024-01-29T00:00:00"/>
    <n v="255.25"/>
    <s v="Books"/>
    <s v="East"/>
    <n v="8"/>
    <x v="2"/>
    <s v="Jan 2024"/>
  </r>
  <r>
    <s v="CUST068"/>
    <d v="2024-02-20T00:00:00"/>
    <n v="106.86"/>
    <s v="Home"/>
    <s v="North"/>
    <n v="9"/>
    <x v="2"/>
    <s v="Feb 2024"/>
  </r>
  <r>
    <s v="CUST068"/>
    <d v="2024-03-25T00:00:00"/>
    <n v="857.92"/>
    <s v="Home"/>
    <s v="East"/>
    <n v="10"/>
    <x v="2"/>
    <s v="Mar 2024"/>
  </r>
  <r>
    <s v="CUST068"/>
    <d v="2024-07-24T00:00:00"/>
    <n v="793.66"/>
    <s v="Books"/>
    <s v="East"/>
    <n v="11"/>
    <x v="2"/>
    <s v="Jul 2024"/>
  </r>
  <r>
    <s v="CUST069"/>
    <d v="2022-06-14T00:00:00"/>
    <n v="547.27"/>
    <s v="Home"/>
    <s v="East"/>
    <n v="0"/>
    <x v="0"/>
    <s v="Jun 2022"/>
  </r>
  <r>
    <s v="CUST069"/>
    <d v="2022-07-25T00:00:00"/>
    <n v="337.59"/>
    <s v="Electronics"/>
    <s v="North"/>
    <n v="1"/>
    <x v="1"/>
    <s v="Jul 2022"/>
  </r>
  <r>
    <s v="CUST069"/>
    <d v="2022-11-02T00:00:00"/>
    <n v="118.95"/>
    <s v="Electronics"/>
    <s v="North"/>
    <n v="2"/>
    <x v="1"/>
    <s v="Nov 2022"/>
  </r>
  <r>
    <s v="CUST069"/>
    <d v="2024-06-11T00:00:00"/>
    <n v="990.6"/>
    <s v="Health"/>
    <s v="East"/>
    <n v="3"/>
    <x v="1"/>
    <s v="Jun 2024"/>
  </r>
  <r>
    <s v="CUST070"/>
    <d v="2022-06-30T00:00:00"/>
    <n v="817.31"/>
    <s v="Health"/>
    <s v="North"/>
    <n v="0"/>
    <x v="0"/>
    <s v="Jun 2022"/>
  </r>
  <r>
    <s v="CUST070"/>
    <d v="2024-02-16T00:00:00"/>
    <n v="55.54"/>
    <s v="Home"/>
    <s v="East"/>
    <n v="1"/>
    <x v="1"/>
    <s v="Feb 2024"/>
  </r>
  <r>
    <s v="CUST071"/>
    <d v="2022-01-06T00:00:00"/>
    <n v="734.67"/>
    <s v="Health"/>
    <s v="North"/>
    <n v="0"/>
    <x v="0"/>
    <s v="Jan 2022"/>
  </r>
  <r>
    <s v="CUST071"/>
    <d v="2024-03-07T00:00:00"/>
    <n v="638.74"/>
    <s v="Books"/>
    <s v="East"/>
    <n v="1"/>
    <x v="1"/>
    <s v="Mar 2024"/>
  </r>
  <r>
    <s v="CUST072"/>
    <d v="2022-03-01T00:00:00"/>
    <n v="372.7"/>
    <s v="Clothing"/>
    <s v="South"/>
    <n v="0"/>
    <x v="0"/>
    <s v="Mar 2022"/>
  </r>
  <r>
    <s v="CUST072"/>
    <d v="2022-03-17T00:00:00"/>
    <n v="596.49"/>
    <s v="Electronics"/>
    <s v="North"/>
    <n v="1"/>
    <x v="1"/>
    <s v="Mar 2022"/>
  </r>
  <r>
    <s v="CUST072"/>
    <d v="2022-06-01T00:00:00"/>
    <n v="54.78"/>
    <s v="Books"/>
    <s v="East"/>
    <n v="2"/>
    <x v="1"/>
    <s v="Jun 2022"/>
  </r>
  <r>
    <s v="CUST072"/>
    <d v="2023-05-05T00:00:00"/>
    <n v="728.7"/>
    <s v="Health"/>
    <s v="East"/>
    <n v="3"/>
    <x v="1"/>
    <s v="May 2023"/>
  </r>
  <r>
    <s v="CUST072"/>
    <d v="2023-07-01T00:00:00"/>
    <n v="634.83000000000004"/>
    <s v="Electronics"/>
    <s v="West"/>
    <n v="4"/>
    <x v="1"/>
    <s v="Jul 2023"/>
  </r>
  <r>
    <s v="CUST072"/>
    <d v="2024-07-06T00:00:00"/>
    <n v="20.73"/>
    <s v="Clothing"/>
    <s v="West"/>
    <n v="5"/>
    <x v="2"/>
    <s v="Jul 2024"/>
  </r>
  <r>
    <s v="CUST072"/>
    <d v="2024-07-11T00:00:00"/>
    <n v="100.37"/>
    <s v="Books"/>
    <s v="South"/>
    <n v="6"/>
    <x v="2"/>
    <s v="Jul 2024"/>
  </r>
  <r>
    <s v="CUST073"/>
    <d v="2023-12-14T00:00:00"/>
    <n v="164.87"/>
    <s v="Electronics"/>
    <s v="West"/>
    <n v="0"/>
    <x v="0"/>
    <s v="Dec 2023"/>
  </r>
  <r>
    <s v="CUST073"/>
    <d v="2024-02-16T00:00:00"/>
    <n v="50.32"/>
    <s v="Clothing"/>
    <s v="North"/>
    <n v="1"/>
    <x v="1"/>
    <s v="Feb 2024"/>
  </r>
  <r>
    <s v="CUST073"/>
    <d v="2024-10-25T00:00:00"/>
    <n v="558.32000000000005"/>
    <s v="Home"/>
    <s v="East"/>
    <n v="2"/>
    <x v="1"/>
    <s v="Oct 2024"/>
  </r>
  <r>
    <s v="CUST074"/>
    <d v="2023-08-12T00:00:00"/>
    <n v="177.8"/>
    <s v="Clothing"/>
    <s v="North"/>
    <n v="0"/>
    <x v="0"/>
    <s v="Aug 2023"/>
  </r>
  <r>
    <s v="CUST074"/>
    <d v="2024-09-30T00:00:00"/>
    <n v="962.55"/>
    <s v="Books"/>
    <s v="South"/>
    <n v="1"/>
    <x v="1"/>
    <s v="Sept 2024"/>
  </r>
  <r>
    <s v="CUST075"/>
    <d v="2022-05-22T00:00:00"/>
    <n v="895.88"/>
    <s v="Clothing"/>
    <s v="North"/>
    <n v="0"/>
    <x v="0"/>
    <s v="May 2022"/>
  </r>
  <r>
    <s v="CUST076"/>
    <d v="2022-05-03T00:00:00"/>
    <n v="318.58999999999997"/>
    <s v="Books"/>
    <s v="South"/>
    <n v="0"/>
    <x v="0"/>
    <s v="May 2022"/>
  </r>
  <r>
    <s v="CUST076"/>
    <d v="2022-11-08T00:00:00"/>
    <n v="819.83"/>
    <s v="Electronics"/>
    <s v="East"/>
    <n v="1"/>
    <x v="1"/>
    <s v="Nov 2022"/>
  </r>
  <r>
    <s v="CUST076"/>
    <d v="2023-08-20T00:00:00"/>
    <n v="618.86"/>
    <s v="Health"/>
    <s v="East"/>
    <n v="2"/>
    <x v="1"/>
    <s v="Aug 2023"/>
  </r>
  <r>
    <s v="CUST076"/>
    <d v="2024-09-15T00:00:00"/>
    <n v="562.82000000000005"/>
    <s v="Books"/>
    <s v="West"/>
    <n v="3"/>
    <x v="1"/>
    <s v="Sept 2024"/>
  </r>
  <r>
    <s v="CUST077"/>
    <d v="2022-11-22T00:00:00"/>
    <n v="523.6"/>
    <s v="Health"/>
    <s v="East"/>
    <n v="0"/>
    <x v="0"/>
    <s v="Nov 2022"/>
  </r>
  <r>
    <s v="CUST077"/>
    <d v="2023-11-09T00:00:00"/>
    <n v="61.16"/>
    <s v="Health"/>
    <s v="South"/>
    <n v="1"/>
    <x v="1"/>
    <s v="Nov 2023"/>
  </r>
  <r>
    <s v="CUST077"/>
    <d v="2024-01-12T00:00:00"/>
    <n v="558.80999999999995"/>
    <s v="Home"/>
    <s v="South"/>
    <n v="2"/>
    <x v="1"/>
    <s v="Jan 2024"/>
  </r>
  <r>
    <s v="CUST077"/>
    <d v="2024-08-27T00:00:00"/>
    <n v="947.78"/>
    <s v="Electronics"/>
    <s v="West"/>
    <n v="3"/>
    <x v="1"/>
    <s v="Aug 2024"/>
  </r>
  <r>
    <s v="CUST078"/>
    <d v="2023-12-28T00:00:00"/>
    <n v="663.6"/>
    <s v="Home"/>
    <s v="West"/>
    <n v="0"/>
    <x v="0"/>
    <s v="Dec 2023"/>
  </r>
  <r>
    <s v="CUST078"/>
    <d v="2024-09-25T00:00:00"/>
    <n v="127.63"/>
    <s v="Health"/>
    <s v="West"/>
    <n v="1"/>
    <x v="1"/>
    <s v="Sept 2024"/>
  </r>
  <r>
    <s v="CUST078"/>
    <d v="2024-09-29T00:00:00"/>
    <n v="587.54"/>
    <s v="Books"/>
    <s v="East"/>
    <n v="2"/>
    <x v="1"/>
    <s v="Sept 2024"/>
  </r>
  <r>
    <s v="CUST079"/>
    <d v="2023-01-04T00:00:00"/>
    <n v="909.18"/>
    <s v="Electronics"/>
    <s v="North"/>
    <n v="0"/>
    <x v="0"/>
    <s v="Jan 2023"/>
  </r>
  <r>
    <s v="CUST079"/>
    <d v="2024-04-30T00:00:00"/>
    <n v="109.77"/>
    <s v="Clothing"/>
    <s v="West"/>
    <n v="1"/>
    <x v="1"/>
    <s v="Apr 2024"/>
  </r>
  <r>
    <s v="CUST079"/>
    <d v="2024-06-24T00:00:00"/>
    <n v="112.09"/>
    <s v="Clothing"/>
    <s v="West"/>
    <n v="2"/>
    <x v="1"/>
    <s v="Jun 2024"/>
  </r>
  <r>
    <s v="CUST080"/>
    <d v="2023-03-10T00:00:00"/>
    <n v="26.42"/>
    <s v="Electronics"/>
    <s v="West"/>
    <n v="0"/>
    <x v="0"/>
    <s v="Mar 2023"/>
  </r>
  <r>
    <s v="CUST080"/>
    <d v="2024-09-02T00:00:00"/>
    <n v="755.84"/>
    <s v="Health"/>
    <s v="North"/>
    <n v="1"/>
    <x v="1"/>
    <s v="Sept 2024"/>
  </r>
  <r>
    <s v="CUST080"/>
    <d v="2024-11-08T00:00:00"/>
    <n v="460"/>
    <s v="Books"/>
    <s v="North"/>
    <n v="2"/>
    <x v="1"/>
    <s v="Nov 2024"/>
  </r>
  <r>
    <s v="CUST081"/>
    <d v="2022-07-23T00:00:00"/>
    <n v="864.47"/>
    <s v="Home"/>
    <s v="South"/>
    <n v="0"/>
    <x v="0"/>
    <s v="Jul 2022"/>
  </r>
  <r>
    <s v="CUST081"/>
    <d v="2022-07-30T00:00:00"/>
    <n v="732.31"/>
    <s v="Home"/>
    <s v="West"/>
    <n v="1"/>
    <x v="1"/>
    <s v="Jul 2022"/>
  </r>
  <r>
    <s v="CUST081"/>
    <d v="2023-09-01T00:00:00"/>
    <n v="700.05"/>
    <s v="Books"/>
    <s v="East"/>
    <n v="2"/>
    <x v="1"/>
    <s v="Sept 2023"/>
  </r>
  <r>
    <s v="CUST081"/>
    <d v="2023-10-23T00:00:00"/>
    <n v="824.37"/>
    <s v="Books"/>
    <s v="North"/>
    <n v="3"/>
    <x v="1"/>
    <s v="Oct 2023"/>
  </r>
  <r>
    <s v="CUST081"/>
    <d v="2023-10-28T00:00:00"/>
    <n v="527.02"/>
    <s v="Clothing"/>
    <s v="East"/>
    <n v="4"/>
    <x v="1"/>
    <s v="Oct 2023"/>
  </r>
  <r>
    <s v="CUST081"/>
    <d v="2023-11-11T00:00:00"/>
    <n v="545.23"/>
    <s v="Electronics"/>
    <s v="East"/>
    <n v="5"/>
    <x v="2"/>
    <s v="Nov 2023"/>
  </r>
  <r>
    <s v="CUST081"/>
    <d v="2024-08-03T00:00:00"/>
    <n v="554.03"/>
    <s v="Electronics"/>
    <s v="North"/>
    <n v="6"/>
    <x v="2"/>
    <s v="Aug 2024"/>
  </r>
  <r>
    <s v="CUST081"/>
    <d v="2024-08-26T00:00:00"/>
    <n v="376.94"/>
    <s v="Health"/>
    <s v="West"/>
    <n v="7"/>
    <x v="2"/>
    <s v="Aug 2024"/>
  </r>
  <r>
    <s v="CUST083"/>
    <d v="2022-12-25T00:00:00"/>
    <n v="46.52"/>
    <s v="Clothing"/>
    <s v="North"/>
    <n v="0"/>
    <x v="0"/>
    <s v="Dec 2022"/>
  </r>
  <r>
    <s v="CUST083"/>
    <d v="2024-10-04T00:00:00"/>
    <n v="231.36"/>
    <s v="Clothing"/>
    <s v="West"/>
    <n v="1"/>
    <x v="1"/>
    <s v="Oct 2024"/>
  </r>
  <r>
    <s v="CUST084"/>
    <d v="2022-07-07T00:00:00"/>
    <n v="773.56"/>
    <s v="Health"/>
    <s v="North"/>
    <n v="0"/>
    <x v="0"/>
    <s v="Jul 2022"/>
  </r>
  <r>
    <s v="CUST084"/>
    <d v="2024-09-05T00:00:00"/>
    <n v="92.67"/>
    <s v="Home"/>
    <s v="South"/>
    <n v="1"/>
    <x v="1"/>
    <s v="Sept 2024"/>
  </r>
  <r>
    <s v="CUST085"/>
    <d v="2023-04-24T00:00:00"/>
    <n v="901.41"/>
    <s v="Clothing"/>
    <s v="West"/>
    <n v="0"/>
    <x v="0"/>
    <s v="Apr 2023"/>
  </r>
  <r>
    <s v="CUST085"/>
    <d v="2024-07-03T00:00:00"/>
    <n v="395.31"/>
    <s v="Electronics"/>
    <s v="West"/>
    <n v="1"/>
    <x v="1"/>
    <s v="Jul 2024"/>
  </r>
  <r>
    <s v="CUST085"/>
    <d v="2024-07-20T00:00:00"/>
    <n v="635.52"/>
    <s v="Health"/>
    <s v="East"/>
    <n v="2"/>
    <x v="1"/>
    <s v="Jul 2024"/>
  </r>
  <r>
    <s v="CUST085"/>
    <d v="2024-08-25T00:00:00"/>
    <n v="380.53"/>
    <s v="Books"/>
    <s v="South"/>
    <n v="3"/>
    <x v="1"/>
    <s v="Aug 2024"/>
  </r>
  <r>
    <s v="CUST086"/>
    <d v="2024-03-17T00:00:00"/>
    <n v="629.6"/>
    <s v="Health"/>
    <s v="South"/>
    <n v="0"/>
    <x v="0"/>
    <s v="Mar 2024"/>
  </r>
  <r>
    <s v="CUST086"/>
    <d v="2024-06-06T00:00:00"/>
    <n v="185.67"/>
    <s v="Home"/>
    <s v="North"/>
    <n v="1"/>
    <x v="1"/>
    <s v="Jun 2024"/>
  </r>
  <r>
    <s v="CUST086"/>
    <d v="2024-11-02T00:00:00"/>
    <n v="527.87"/>
    <s v="Home"/>
    <s v="East"/>
    <n v="2"/>
    <x v="1"/>
    <s v="Nov 2024"/>
  </r>
  <r>
    <s v="CUST087"/>
    <d v="2022-03-24T00:00:00"/>
    <n v="178.82"/>
    <s v="Clothing"/>
    <s v="South"/>
    <n v="0"/>
    <x v="0"/>
    <s v="Mar 2022"/>
  </r>
  <r>
    <s v="CUST087"/>
    <d v="2023-04-06T00:00:00"/>
    <n v="122.34"/>
    <s v="Electronics"/>
    <s v="East"/>
    <n v="1"/>
    <x v="1"/>
    <s v="Apr 2023"/>
  </r>
  <r>
    <s v="CUST087"/>
    <d v="2023-06-05T00:00:00"/>
    <n v="850.73"/>
    <s v="Books"/>
    <s v="South"/>
    <n v="2"/>
    <x v="1"/>
    <s v="Jun 2023"/>
  </r>
  <r>
    <s v="CUST088"/>
    <d v="2022-03-15T00:00:00"/>
    <n v="519.09"/>
    <s v="Books"/>
    <s v="West"/>
    <n v="0"/>
    <x v="0"/>
    <s v="Mar 2022"/>
  </r>
  <r>
    <s v="CUST088"/>
    <d v="2022-11-05T00:00:00"/>
    <n v="235.66"/>
    <s v="Clothing"/>
    <s v="West"/>
    <n v="1"/>
    <x v="1"/>
    <s v="Nov 2022"/>
  </r>
  <r>
    <s v="CUST088"/>
    <d v="2024-02-19T00:00:00"/>
    <n v="706.62"/>
    <s v="Home"/>
    <s v="South"/>
    <n v="2"/>
    <x v="1"/>
    <s v="Feb 2024"/>
  </r>
  <r>
    <s v="CUST089"/>
    <d v="2022-04-13T00:00:00"/>
    <n v="106.7"/>
    <s v="Clothing"/>
    <s v="East"/>
    <n v="0"/>
    <x v="0"/>
    <s v="Apr 2022"/>
  </r>
  <r>
    <s v="CUST089"/>
    <d v="2024-08-03T00:00:00"/>
    <n v="66.98"/>
    <s v="Health"/>
    <s v="East"/>
    <n v="1"/>
    <x v="1"/>
    <s v="Aug 2024"/>
  </r>
  <r>
    <s v="CUST090"/>
    <d v="2023-12-06T00:00:00"/>
    <n v="837.62"/>
    <s v="Books"/>
    <s v="West"/>
    <n v="0"/>
    <x v="0"/>
    <s v="Dec 2023"/>
  </r>
  <r>
    <s v="CUST090"/>
    <d v="2024-06-23T00:00:00"/>
    <n v="757"/>
    <s v="Electronics"/>
    <s v="South"/>
    <n v="1"/>
    <x v="1"/>
    <s v="Jun 2024"/>
  </r>
  <r>
    <s v="CUST090"/>
    <d v="2024-07-11T00:00:00"/>
    <n v="326.12"/>
    <s v="Health"/>
    <s v="East"/>
    <n v="2"/>
    <x v="1"/>
    <s v="Jul 2024"/>
  </r>
  <r>
    <s v="CUST091"/>
    <d v="2022-06-11T00:00:00"/>
    <n v="363.19"/>
    <s v="Books"/>
    <s v="South"/>
    <n v="0"/>
    <x v="0"/>
    <s v="Jun 2022"/>
  </r>
  <r>
    <s v="CUST091"/>
    <d v="2023-05-24T00:00:00"/>
    <n v="694.98"/>
    <s v="Clothing"/>
    <s v="West"/>
    <n v="1"/>
    <x v="1"/>
    <s v="May 2023"/>
  </r>
  <r>
    <s v="CUST091"/>
    <d v="2024-05-18T00:00:00"/>
    <n v="33.04"/>
    <s v="Clothing"/>
    <s v="East"/>
    <n v="2"/>
    <x v="1"/>
    <s v="May 2024"/>
  </r>
  <r>
    <s v="CUST092"/>
    <d v="2022-04-05T00:00:00"/>
    <n v="311.57"/>
    <s v="Clothing"/>
    <s v="South"/>
    <n v="0"/>
    <x v="0"/>
    <s v="Apr 2022"/>
  </r>
  <r>
    <s v="CUST092"/>
    <d v="2024-05-08T00:00:00"/>
    <n v="686.18"/>
    <s v="Home"/>
    <s v="North"/>
    <n v="1"/>
    <x v="1"/>
    <s v="May 2024"/>
  </r>
  <r>
    <s v="CUST093"/>
    <d v="2022-05-04T00:00:00"/>
    <n v="524.87"/>
    <s v="Home"/>
    <s v="South"/>
    <n v="0"/>
    <x v="0"/>
    <s v="May 2022"/>
  </r>
  <r>
    <s v="CUST093"/>
    <d v="2022-09-05T00:00:00"/>
    <n v="321.20999999999998"/>
    <s v="Books"/>
    <s v="West"/>
    <n v="1"/>
    <x v="1"/>
    <s v="Sept 2022"/>
  </r>
  <r>
    <s v="CUST093"/>
    <d v="2023-01-03T00:00:00"/>
    <n v="285.86"/>
    <s v="Electronics"/>
    <s v="South"/>
    <n v="2"/>
    <x v="1"/>
    <s v="Jan 2023"/>
  </r>
  <r>
    <s v="CUST094"/>
    <d v="2022-06-03T00:00:00"/>
    <n v="394.79"/>
    <s v="Home"/>
    <s v="South"/>
    <n v="0"/>
    <x v="0"/>
    <s v="Jun 2022"/>
  </r>
  <r>
    <s v="CUST094"/>
    <d v="2024-05-01T00:00:00"/>
    <n v="28.04"/>
    <s v="Health"/>
    <s v="West"/>
    <n v="1"/>
    <x v="1"/>
    <s v="May 2024"/>
  </r>
  <r>
    <s v="CUST094"/>
    <d v="2024-08-20T00:00:00"/>
    <n v="90.54"/>
    <s v="Health"/>
    <s v="West"/>
    <n v="2"/>
    <x v="1"/>
    <s v="Aug 2024"/>
  </r>
  <r>
    <s v="CUST095"/>
    <d v="2022-06-08T00:00:00"/>
    <n v="830.45"/>
    <s v="Electronics"/>
    <s v="North"/>
    <n v="0"/>
    <x v="0"/>
    <s v="Jun 2022"/>
  </r>
  <r>
    <s v="CUST095"/>
    <d v="2023-12-13T00:00:00"/>
    <n v="181.56"/>
    <s v="Health"/>
    <s v="East"/>
    <n v="1"/>
    <x v="1"/>
    <s v="Dec 2023"/>
  </r>
  <r>
    <s v="CUST095"/>
    <d v="2024-04-19T00:00:00"/>
    <n v="550.16"/>
    <s v="Books"/>
    <s v="West"/>
    <n v="2"/>
    <x v="1"/>
    <s v="Apr 2024"/>
  </r>
  <r>
    <s v="CUST096"/>
    <d v="2022-12-06T00:00:00"/>
    <n v="962.82"/>
    <s v="Clothing"/>
    <s v="West"/>
    <n v="0"/>
    <x v="0"/>
    <s v="Dec 2022"/>
  </r>
  <r>
    <s v="CUST096"/>
    <d v="2023-03-15T00:00:00"/>
    <n v="234.23"/>
    <s v="Health"/>
    <s v="East"/>
    <n v="1"/>
    <x v="1"/>
    <s v="Mar 2023"/>
  </r>
  <r>
    <s v="CUST097"/>
    <d v="2022-04-22T00:00:00"/>
    <n v="910.23"/>
    <s v="Home"/>
    <s v="East"/>
    <n v="0"/>
    <x v="0"/>
    <s v="Apr 2022"/>
  </r>
  <r>
    <s v="CUST098"/>
    <d v="2022-03-31T00:00:00"/>
    <n v="965.98"/>
    <s v="Home"/>
    <s v="West"/>
    <n v="0"/>
    <x v="0"/>
    <s v="Mar 2022"/>
  </r>
  <r>
    <s v="CUST098"/>
    <d v="2022-06-01T00:00:00"/>
    <n v="204.02"/>
    <s v="Electronics"/>
    <s v="South"/>
    <n v="1"/>
    <x v="1"/>
    <s v="Jun 2022"/>
  </r>
  <r>
    <s v="CUST098"/>
    <d v="2022-06-27T00:00:00"/>
    <n v="15.47"/>
    <s v="Electronics"/>
    <s v="West"/>
    <n v="2"/>
    <x v="1"/>
    <s v="Jun 2022"/>
  </r>
  <r>
    <s v="CUST098"/>
    <d v="2022-10-11T00:00:00"/>
    <n v="872.75"/>
    <s v="Health"/>
    <s v="West"/>
    <n v="3"/>
    <x v="1"/>
    <s v="Oct 2022"/>
  </r>
  <r>
    <s v="CUST098"/>
    <d v="2023-08-03T00:00:00"/>
    <n v="854.48"/>
    <s v="Home"/>
    <s v="East"/>
    <n v="4"/>
    <x v="1"/>
    <s v="Aug 2023"/>
  </r>
  <r>
    <s v="CUST098"/>
    <d v="2024-06-15T00:00:00"/>
    <n v="778.65"/>
    <s v="Health"/>
    <s v="North"/>
    <n v="5"/>
    <x v="2"/>
    <s v="Jun 2024"/>
  </r>
  <r>
    <s v="CUST098"/>
    <d v="2024-09-19T00:00:00"/>
    <n v="21.24"/>
    <s v="Electronics"/>
    <s v="East"/>
    <n v="6"/>
    <x v="2"/>
    <s v="Sept 2024"/>
  </r>
  <r>
    <s v="CUST099"/>
    <d v="2022-10-07T00:00:00"/>
    <n v="637.07000000000005"/>
    <s v="Home"/>
    <s v="South"/>
    <n v="0"/>
    <x v="0"/>
    <s v="Oct 2022"/>
  </r>
  <r>
    <s v="CUST099"/>
    <d v="2024-08-09T00:00:00"/>
    <n v="125.9"/>
    <s v="Home"/>
    <s v="North"/>
    <n v="1"/>
    <x v="1"/>
    <s v="Aug 2024"/>
  </r>
  <r>
    <s v="CUST099"/>
    <d v="2024-12-23T00:00:00"/>
    <n v="359.82"/>
    <s v="Health"/>
    <s v="North"/>
    <n v="2"/>
    <x v="1"/>
    <s v="Dec 2024"/>
  </r>
  <r>
    <s v="CUST100"/>
    <d v="2023-08-03T00:00:00"/>
    <n v="391.25"/>
    <s v="Electronics"/>
    <s v="South"/>
    <n v="0"/>
    <x v="0"/>
    <s v="Aug 2023"/>
  </r>
  <r>
    <s v="CUST102"/>
    <d v="2022-08-07T00:00:00"/>
    <n v="477.49"/>
    <s v="Electronics"/>
    <s v="North"/>
    <n v="0"/>
    <x v="0"/>
    <s v="Aug 2022"/>
  </r>
  <r>
    <s v="CUST102"/>
    <d v="2023-11-04T00:00:00"/>
    <n v="626.66"/>
    <s v="Home"/>
    <s v="North"/>
    <n v="1"/>
    <x v="1"/>
    <s v="Nov 2023"/>
  </r>
  <r>
    <s v="CUST103"/>
    <d v="2022-07-24T00:00:00"/>
    <n v="627.07000000000005"/>
    <s v="Books"/>
    <s v="South"/>
    <n v="0"/>
    <x v="0"/>
    <s v="Jul 2022"/>
  </r>
  <r>
    <s v="CUST103"/>
    <d v="2022-09-05T00:00:00"/>
    <n v="640.04999999999995"/>
    <s v="Electronics"/>
    <s v="South"/>
    <n v="1"/>
    <x v="1"/>
    <s v="Sept 2022"/>
  </r>
  <r>
    <s v="CUST103"/>
    <d v="2023-03-11T00:00:00"/>
    <n v="516.97"/>
    <s v="Books"/>
    <s v="West"/>
    <n v="2"/>
    <x v="1"/>
    <s v="Mar 2023"/>
  </r>
  <r>
    <s v="CUST103"/>
    <d v="2023-07-24T00:00:00"/>
    <n v="433.9"/>
    <s v="Electronics"/>
    <s v="East"/>
    <n v="3"/>
    <x v="1"/>
    <s v="Jul 2023"/>
  </r>
  <r>
    <s v="CUST103"/>
    <d v="2024-07-02T00:00:00"/>
    <n v="896.57"/>
    <s v="Clothing"/>
    <s v="East"/>
    <n v="4"/>
    <x v="1"/>
    <s v="Jul 2024"/>
  </r>
  <r>
    <s v="CUST103"/>
    <d v="2024-07-18T00:00:00"/>
    <n v="951.1"/>
    <s v="Books"/>
    <s v="South"/>
    <n v="5"/>
    <x v="2"/>
    <s v="Jul 2024"/>
  </r>
  <r>
    <s v="CUST103"/>
    <d v="2024-12-28T00:00:00"/>
    <n v="86.96"/>
    <s v="Home"/>
    <s v="South"/>
    <n v="6"/>
    <x v="2"/>
    <s v="Dec 2024"/>
  </r>
  <r>
    <s v="CUST104"/>
    <d v="2023-06-02T00:00:00"/>
    <n v="653.14"/>
    <s v="Books"/>
    <s v="North"/>
    <n v="0"/>
    <x v="0"/>
    <s v="Jun 2023"/>
  </r>
  <r>
    <s v="CUST104"/>
    <d v="2023-09-30T00:00:00"/>
    <n v="344.62"/>
    <s v="Clothing"/>
    <s v="West"/>
    <n v="1"/>
    <x v="1"/>
    <s v="Sept 2023"/>
  </r>
  <r>
    <s v="CUST104"/>
    <d v="2024-09-07T00:00:00"/>
    <n v="779.38"/>
    <s v="Health"/>
    <s v="East"/>
    <n v="2"/>
    <x v="1"/>
    <s v="Sept 2024"/>
  </r>
  <r>
    <s v="CUST104"/>
    <d v="2024-09-26T00:00:00"/>
    <n v="126.35"/>
    <s v="Clothing"/>
    <s v="South"/>
    <n v="3"/>
    <x v="1"/>
    <s v="Sept 2024"/>
  </r>
  <r>
    <s v="CUST105"/>
    <d v="2023-05-15T00:00:00"/>
    <n v="110.46"/>
    <s v="Health"/>
    <s v="South"/>
    <n v="0"/>
    <x v="0"/>
    <s v="May 2023"/>
  </r>
  <r>
    <s v="CUST105"/>
    <d v="2023-07-20T00:00:00"/>
    <n v="915.72"/>
    <s v="Electronics"/>
    <s v="South"/>
    <n v="1"/>
    <x v="1"/>
    <s v="Jul 2023"/>
  </r>
  <r>
    <s v="CUST105"/>
    <d v="2024-05-20T00:00:00"/>
    <n v="289.04000000000002"/>
    <s v="Health"/>
    <s v="West"/>
    <n v="2"/>
    <x v="1"/>
    <s v="May 2024"/>
  </r>
  <r>
    <s v="CUST105"/>
    <d v="2024-09-03T00:00:00"/>
    <n v="382.5"/>
    <s v="Clothing"/>
    <s v="South"/>
    <n v="3"/>
    <x v="1"/>
    <s v="Sept 2024"/>
  </r>
  <r>
    <s v="CUST106"/>
    <d v="2023-05-28T00:00:00"/>
    <n v="232.03"/>
    <s v="Books"/>
    <s v="South"/>
    <n v="0"/>
    <x v="0"/>
    <s v="May 2023"/>
  </r>
  <r>
    <s v="CUST106"/>
    <d v="2024-05-28T00:00:00"/>
    <n v="737.72"/>
    <s v="Home"/>
    <s v="South"/>
    <n v="1"/>
    <x v="1"/>
    <s v="May 2024"/>
  </r>
  <r>
    <s v="CUST106"/>
    <d v="2024-06-07T00:00:00"/>
    <n v="753.11"/>
    <s v="Clothing"/>
    <s v="West"/>
    <n v="2"/>
    <x v="1"/>
    <s v="Jun 2024"/>
  </r>
  <r>
    <s v="CUST107"/>
    <d v="2024-12-13T00:00:00"/>
    <n v="284.61"/>
    <s v="Home"/>
    <s v="North"/>
    <n v="0"/>
    <x v="0"/>
    <s v="Dec 2024"/>
  </r>
  <r>
    <s v="CUST108"/>
    <d v="2022-02-25T00:00:00"/>
    <n v="615.73"/>
    <s v="Clothing"/>
    <s v="East"/>
    <n v="0"/>
    <x v="0"/>
    <s v="Feb 2022"/>
  </r>
  <r>
    <s v="CUST108"/>
    <d v="2023-10-17T00:00:00"/>
    <n v="293.68"/>
    <s v="Electronics"/>
    <s v="East"/>
    <n v="1"/>
    <x v="1"/>
    <s v="Oct 2023"/>
  </r>
  <r>
    <s v="CUST108"/>
    <d v="2024-09-18T00:00:00"/>
    <n v="497.7"/>
    <s v="Books"/>
    <s v="West"/>
    <n v="2"/>
    <x v="1"/>
    <s v="Sept 2024"/>
  </r>
  <r>
    <s v="CUST109"/>
    <d v="2022-01-29T00:00:00"/>
    <n v="710.99"/>
    <s v="Home"/>
    <s v="South"/>
    <n v="0"/>
    <x v="0"/>
    <s v="Jan 2022"/>
  </r>
  <r>
    <s v="CUST109"/>
    <d v="2022-03-08T00:00:00"/>
    <n v="207.68"/>
    <s v="Home"/>
    <s v="South"/>
    <n v="1"/>
    <x v="1"/>
    <s v="Mar 2022"/>
  </r>
  <r>
    <s v="CUST109"/>
    <d v="2022-10-01T00:00:00"/>
    <n v="930.4"/>
    <s v="Home"/>
    <s v="North"/>
    <n v="2"/>
    <x v="1"/>
    <s v="Oct 2022"/>
  </r>
  <r>
    <s v="CUST109"/>
    <d v="2023-02-21T00:00:00"/>
    <n v="194.65"/>
    <s v="Books"/>
    <s v="West"/>
    <n v="3"/>
    <x v="1"/>
    <s v="Feb 2023"/>
  </r>
  <r>
    <s v="CUST109"/>
    <d v="2023-05-26T00:00:00"/>
    <n v="655.44"/>
    <s v="Books"/>
    <s v="North"/>
    <n v="4"/>
    <x v="1"/>
    <s v="May 2023"/>
  </r>
  <r>
    <s v="CUST109"/>
    <d v="2023-06-27T00:00:00"/>
    <n v="399.17"/>
    <s v="Books"/>
    <s v="South"/>
    <n v="5"/>
    <x v="2"/>
    <s v="Jun 2023"/>
  </r>
  <r>
    <s v="CUST109"/>
    <d v="2023-08-13T00:00:00"/>
    <n v="561.23"/>
    <s v="Clothing"/>
    <s v="South"/>
    <n v="6"/>
    <x v="2"/>
    <s v="Aug 2023"/>
  </r>
  <r>
    <s v="CUST109"/>
    <d v="2024-03-01T00:00:00"/>
    <n v="619.69000000000005"/>
    <s v="Clothing"/>
    <s v="North"/>
    <n v="7"/>
    <x v="2"/>
    <s v="Mar 2024"/>
  </r>
  <r>
    <s v="CUST110"/>
    <d v="2022-08-31T00:00:00"/>
    <n v="116.81"/>
    <s v="Clothing"/>
    <s v="North"/>
    <n v="0"/>
    <x v="0"/>
    <s v="Aug 2022"/>
  </r>
  <r>
    <s v="CUST110"/>
    <d v="2024-04-07T00:00:00"/>
    <n v="646"/>
    <s v="Books"/>
    <s v="West"/>
    <n v="1"/>
    <x v="1"/>
    <s v="Apr 2024"/>
  </r>
  <r>
    <s v="CUST111"/>
    <d v="2023-05-22T00:00:00"/>
    <n v="553.25"/>
    <s v="Health"/>
    <s v="East"/>
    <n v="0"/>
    <x v="0"/>
    <s v="May 2023"/>
  </r>
  <r>
    <s v="CUST111"/>
    <d v="2024-04-26T00:00:00"/>
    <n v="906.3"/>
    <s v="Books"/>
    <s v="North"/>
    <n v="1"/>
    <x v="1"/>
    <s v="Apr 2024"/>
  </r>
  <r>
    <s v="CUST111"/>
    <d v="2024-08-21T00:00:00"/>
    <n v="93.99"/>
    <s v="Health"/>
    <s v="East"/>
    <n v="2"/>
    <x v="1"/>
    <s v="Aug 2024"/>
  </r>
  <r>
    <s v="CUST111"/>
    <d v="2024-10-02T00:00:00"/>
    <n v="292.85000000000002"/>
    <s v="Health"/>
    <s v="East"/>
    <n v="3"/>
    <x v="1"/>
    <s v="Oct 2024"/>
  </r>
  <r>
    <s v="CUST112"/>
    <d v="2022-11-09T00:00:00"/>
    <n v="862.12"/>
    <s v="Electronics"/>
    <s v="North"/>
    <n v="0"/>
    <x v="0"/>
    <s v="Nov 2022"/>
  </r>
  <r>
    <s v="CUST112"/>
    <d v="2024-08-02T00:00:00"/>
    <n v="499.48"/>
    <s v="Home"/>
    <s v="West"/>
    <n v="1"/>
    <x v="1"/>
    <s v="Aug 2024"/>
  </r>
  <r>
    <s v="CUST112"/>
    <d v="2024-08-04T00:00:00"/>
    <n v="447.12"/>
    <s v="Home"/>
    <s v="West"/>
    <n v="2"/>
    <x v="1"/>
    <s v="Aug 2024"/>
  </r>
  <r>
    <s v="CUST112"/>
    <d v="2024-08-15T00:00:00"/>
    <n v="93.27"/>
    <s v="Home"/>
    <s v="South"/>
    <n v="3"/>
    <x v="1"/>
    <s v="Aug 2024"/>
  </r>
  <r>
    <s v="CUST113"/>
    <d v="2023-03-20T00:00:00"/>
    <n v="648.72"/>
    <s v="Clothing"/>
    <s v="East"/>
    <n v="0"/>
    <x v="0"/>
    <s v="Mar 2023"/>
  </r>
  <r>
    <s v="CUST113"/>
    <d v="2023-12-22T00:00:00"/>
    <n v="553.73"/>
    <s v="Books"/>
    <s v="North"/>
    <n v="1"/>
    <x v="1"/>
    <s v="Dec 2023"/>
  </r>
  <r>
    <s v="CUST114"/>
    <d v="2023-07-08T00:00:00"/>
    <n v="497.59"/>
    <s v="Electronics"/>
    <s v="West"/>
    <n v="0"/>
    <x v="0"/>
    <s v="Jul 2023"/>
  </r>
  <r>
    <s v="CUST114"/>
    <d v="2024-03-31T00:00:00"/>
    <n v="171.31"/>
    <s v="Books"/>
    <s v="South"/>
    <n v="1"/>
    <x v="1"/>
    <s v="Mar 2024"/>
  </r>
  <r>
    <s v="CUST114"/>
    <d v="2024-10-09T00:00:00"/>
    <n v="22.03"/>
    <s v="Home"/>
    <s v="West"/>
    <n v="2"/>
    <x v="1"/>
    <s v="Oct 2024"/>
  </r>
  <r>
    <s v="CUST114"/>
    <d v="2024-10-11T00:00:00"/>
    <n v="970.18"/>
    <s v="Home"/>
    <s v="East"/>
    <n v="3"/>
    <x v="1"/>
    <s v="Oct 2024"/>
  </r>
  <r>
    <s v="CUST115"/>
    <d v="2022-03-01T00:00:00"/>
    <n v="299.22000000000003"/>
    <s v="Home"/>
    <s v="West"/>
    <n v="0"/>
    <x v="0"/>
    <s v="Mar 2022"/>
  </r>
  <r>
    <s v="CUST115"/>
    <d v="2023-06-26T00:00:00"/>
    <n v="251.55"/>
    <s v="Home"/>
    <s v="North"/>
    <n v="1"/>
    <x v="1"/>
    <s v="Jun 2023"/>
  </r>
  <r>
    <s v="CUST116"/>
    <d v="2023-03-25T00:00:00"/>
    <n v="694.03"/>
    <s v="Electronics"/>
    <s v="West"/>
    <n v="0"/>
    <x v="0"/>
    <s v="Mar 2023"/>
  </r>
  <r>
    <s v="CUST117"/>
    <d v="2022-06-03T00:00:00"/>
    <n v="332.08"/>
    <s v="Electronics"/>
    <s v="West"/>
    <n v="0"/>
    <x v="0"/>
    <s v="Jun 2022"/>
  </r>
  <r>
    <s v="CUST117"/>
    <d v="2022-11-10T00:00:00"/>
    <n v="515.64"/>
    <s v="Clothing"/>
    <s v="North"/>
    <n v="1"/>
    <x v="1"/>
    <s v="Nov 2022"/>
  </r>
  <r>
    <s v="CUST117"/>
    <d v="2023-08-09T00:00:00"/>
    <n v="323.75"/>
    <s v="Health"/>
    <s v="South"/>
    <n v="2"/>
    <x v="1"/>
    <s v="Aug 2023"/>
  </r>
  <r>
    <s v="CUST117"/>
    <d v="2024-12-10T00:00:00"/>
    <n v="623.92999999999995"/>
    <s v="Home"/>
    <s v="South"/>
    <n v="3"/>
    <x v="1"/>
    <s v="Dec 2024"/>
  </r>
  <r>
    <s v="CUST118"/>
    <d v="2022-04-16T00:00:00"/>
    <n v="130.82"/>
    <s v="Home"/>
    <s v="East"/>
    <n v="0"/>
    <x v="0"/>
    <s v="Apr 2022"/>
  </r>
  <r>
    <s v="CUST118"/>
    <d v="2022-08-07T00:00:00"/>
    <n v="128.4"/>
    <s v="Clothing"/>
    <s v="North"/>
    <n v="1"/>
    <x v="1"/>
    <s v="Aug 2022"/>
  </r>
  <r>
    <s v="CUST118"/>
    <d v="2023-11-09T00:00:00"/>
    <n v="536.04"/>
    <s v="Electronics"/>
    <s v="South"/>
    <n v="2"/>
    <x v="1"/>
    <s v="Nov 2023"/>
  </r>
  <r>
    <s v="CUST118"/>
    <d v="2023-11-19T00:00:00"/>
    <n v="976.09"/>
    <s v="Health"/>
    <s v="North"/>
    <n v="3"/>
    <x v="1"/>
    <s v="Nov 2023"/>
  </r>
  <r>
    <s v="CUST118"/>
    <d v="2024-06-21T00:00:00"/>
    <n v="753.36"/>
    <s v="Clothing"/>
    <s v="South"/>
    <n v="4"/>
    <x v="1"/>
    <s v="Jun 2024"/>
  </r>
  <r>
    <s v="CUST119"/>
    <d v="2022-06-25T00:00:00"/>
    <n v="206.73"/>
    <s v="Books"/>
    <s v="South"/>
    <n v="0"/>
    <x v="0"/>
    <s v="Jun 2022"/>
  </r>
  <r>
    <s v="CUST119"/>
    <d v="2023-07-02T00:00:00"/>
    <n v="796.86"/>
    <s v="Electronics"/>
    <s v="North"/>
    <n v="1"/>
    <x v="1"/>
    <s v="Jul 2023"/>
  </r>
  <r>
    <s v="CUST120"/>
    <d v="2022-10-19T00:00:00"/>
    <n v="805.64"/>
    <s v="Home"/>
    <s v="South"/>
    <n v="0"/>
    <x v="0"/>
    <s v="Oct 2022"/>
  </r>
  <r>
    <s v="CUST120"/>
    <d v="2023-05-28T00:00:00"/>
    <n v="715.06"/>
    <s v="Clothing"/>
    <s v="West"/>
    <n v="1"/>
    <x v="1"/>
    <s v="May 2023"/>
  </r>
  <r>
    <s v="CUST120"/>
    <d v="2024-10-08T00:00:00"/>
    <n v="963.59"/>
    <s v="Home"/>
    <s v="East"/>
    <n v="2"/>
    <x v="1"/>
    <s v="Oct 2024"/>
  </r>
  <r>
    <s v="CUST121"/>
    <d v="2024-06-18T00:00:00"/>
    <n v="931.45"/>
    <s v="Home"/>
    <s v="East"/>
    <n v="0"/>
    <x v="0"/>
    <s v="Jun 2024"/>
  </r>
  <r>
    <s v="CUST122"/>
    <d v="2023-02-02T00:00:00"/>
    <n v="637.19000000000005"/>
    <s v="Books"/>
    <s v="East"/>
    <n v="0"/>
    <x v="0"/>
    <s v="Feb 2023"/>
  </r>
  <r>
    <s v="CUST122"/>
    <d v="2023-05-13T00:00:00"/>
    <n v="899.57"/>
    <s v="Home"/>
    <s v="South"/>
    <n v="1"/>
    <x v="1"/>
    <s v="May 2023"/>
  </r>
  <r>
    <s v="CUST122"/>
    <d v="2023-05-15T00:00:00"/>
    <n v="19.11"/>
    <s v="Health"/>
    <s v="North"/>
    <n v="2"/>
    <x v="1"/>
    <s v="May 2023"/>
  </r>
  <r>
    <s v="CUST122"/>
    <d v="2024-10-17T00:00:00"/>
    <n v="532.41999999999996"/>
    <s v="Home"/>
    <s v="North"/>
    <n v="3"/>
    <x v="1"/>
    <s v="Oct 2024"/>
  </r>
  <r>
    <s v="CUST122"/>
    <d v="2024-12-04T00:00:00"/>
    <n v="891.36"/>
    <s v="Health"/>
    <s v="East"/>
    <n v="4"/>
    <x v="1"/>
    <s v="Dec 2024"/>
  </r>
  <r>
    <s v="CUST123"/>
    <d v="2023-09-06T00:00:00"/>
    <n v="811.27"/>
    <s v="Health"/>
    <s v="West"/>
    <n v="0"/>
    <x v="0"/>
    <s v="Sept 2023"/>
  </r>
  <r>
    <s v="CUST124"/>
    <d v="2023-07-22T00:00:00"/>
    <n v="25.3"/>
    <s v="Home"/>
    <s v="North"/>
    <n v="0"/>
    <x v="0"/>
    <s v="Jul 2023"/>
  </r>
  <r>
    <s v="CUST125"/>
    <d v="2023-01-22T00:00:00"/>
    <n v="764"/>
    <s v="Electronics"/>
    <s v="South"/>
    <n v="0"/>
    <x v="0"/>
    <s v="Jan 2023"/>
  </r>
  <r>
    <s v="CUST125"/>
    <d v="2023-05-05T00:00:00"/>
    <n v="898.14"/>
    <s v="Health"/>
    <s v="North"/>
    <n v="1"/>
    <x v="1"/>
    <s v="May 2023"/>
  </r>
  <r>
    <s v="CUST125"/>
    <d v="2023-07-21T00:00:00"/>
    <n v="376.46"/>
    <s v="Books"/>
    <s v="West"/>
    <n v="2"/>
    <x v="1"/>
    <s v="Jul 2023"/>
  </r>
  <r>
    <s v="CUST125"/>
    <d v="2023-08-14T00:00:00"/>
    <n v="699.07"/>
    <s v="Clothing"/>
    <s v="South"/>
    <n v="3"/>
    <x v="1"/>
    <s v="Aug 2023"/>
  </r>
  <r>
    <s v="CUST126"/>
    <d v="2022-12-25T00:00:00"/>
    <n v="613.47"/>
    <s v="Health"/>
    <s v="East"/>
    <n v="0"/>
    <x v="0"/>
    <s v="Dec 2022"/>
  </r>
  <r>
    <s v="CUST126"/>
    <d v="2024-02-24T00:00:00"/>
    <n v="478.74"/>
    <s v="Electronics"/>
    <s v="West"/>
    <n v="1"/>
    <x v="1"/>
    <s v="Feb 2024"/>
  </r>
  <r>
    <s v="CUST127"/>
    <d v="2022-09-16T00:00:00"/>
    <n v="416.28"/>
    <s v="Electronics"/>
    <s v="West"/>
    <n v="0"/>
    <x v="0"/>
    <s v="Sept 2022"/>
  </r>
  <r>
    <s v="CUST127"/>
    <d v="2024-12-27T00:00:00"/>
    <n v="587.82000000000005"/>
    <s v="Electronics"/>
    <s v="South"/>
    <n v="1"/>
    <x v="1"/>
    <s v="Dec 2024"/>
  </r>
  <r>
    <s v="CUST128"/>
    <d v="2022-08-05T00:00:00"/>
    <n v="888.34"/>
    <s v="Electronics"/>
    <s v="North"/>
    <n v="0"/>
    <x v="0"/>
    <s v="Aug 2022"/>
  </r>
  <r>
    <s v="CUST129"/>
    <d v="2022-11-17T00:00:00"/>
    <n v="128.66999999999999"/>
    <s v="Clothing"/>
    <s v="North"/>
    <n v="0"/>
    <x v="0"/>
    <s v="Nov 2022"/>
  </r>
  <r>
    <s v="CUST129"/>
    <d v="2023-09-10T00:00:00"/>
    <n v="812.01"/>
    <s v="Electronics"/>
    <s v="North"/>
    <n v="1"/>
    <x v="1"/>
    <s v="Sept 2023"/>
  </r>
  <r>
    <s v="CUST130"/>
    <d v="2022-02-11T00:00:00"/>
    <n v="191.57"/>
    <s v="Home"/>
    <s v="South"/>
    <n v="0"/>
    <x v="0"/>
    <s v="Feb 2022"/>
  </r>
  <r>
    <s v="CUST130"/>
    <d v="2022-11-20T00:00:00"/>
    <n v="943.48"/>
    <s v="Health"/>
    <s v="South"/>
    <n v="1"/>
    <x v="1"/>
    <s v="Nov 2022"/>
  </r>
  <r>
    <s v="CUST130"/>
    <d v="2022-11-26T00:00:00"/>
    <n v="705.99"/>
    <s v="Clothing"/>
    <s v="East"/>
    <n v="2"/>
    <x v="1"/>
    <s v="Nov 2022"/>
  </r>
  <r>
    <s v="CUST130"/>
    <d v="2023-11-29T00:00:00"/>
    <n v="87.67"/>
    <s v="Books"/>
    <s v="West"/>
    <n v="3"/>
    <x v="1"/>
    <s v="Nov 2023"/>
  </r>
  <r>
    <s v="CUST130"/>
    <d v="2024-02-23T00:00:00"/>
    <n v="496.7"/>
    <s v="Electronics"/>
    <s v="East"/>
    <n v="4"/>
    <x v="1"/>
    <s v="Feb 2024"/>
  </r>
  <r>
    <s v="CUST130"/>
    <d v="2024-08-30T00:00:00"/>
    <n v="986.14"/>
    <s v="Books"/>
    <s v="West"/>
    <n v="5"/>
    <x v="2"/>
    <s v="Aug 2024"/>
  </r>
  <r>
    <s v="CUST131"/>
    <d v="2022-09-12T00:00:00"/>
    <n v="256.8"/>
    <s v="Home"/>
    <s v="North"/>
    <n v="0"/>
    <x v="0"/>
    <s v="Sept 2022"/>
  </r>
  <r>
    <s v="CUST131"/>
    <d v="2023-09-15T00:00:00"/>
    <n v="506.5"/>
    <s v="Clothing"/>
    <s v="West"/>
    <n v="1"/>
    <x v="1"/>
    <s v="Sept 2023"/>
  </r>
  <r>
    <s v="CUST131"/>
    <d v="2024-07-12T00:00:00"/>
    <n v="950.56"/>
    <s v="Health"/>
    <s v="East"/>
    <n v="2"/>
    <x v="1"/>
    <s v="Jul 2024"/>
  </r>
  <r>
    <s v="CUST131"/>
    <d v="2024-08-09T00:00:00"/>
    <n v="888.83"/>
    <s v="Health"/>
    <s v="East"/>
    <n v="3"/>
    <x v="1"/>
    <s v="Aug 2024"/>
  </r>
  <r>
    <s v="CUST131"/>
    <d v="2024-10-16T00:00:00"/>
    <n v="892.23"/>
    <s v="Books"/>
    <s v="East"/>
    <n v="4"/>
    <x v="1"/>
    <s v="Oct 2024"/>
  </r>
  <r>
    <s v="CUST132"/>
    <d v="2023-04-26T00:00:00"/>
    <n v="345.64"/>
    <s v="Clothing"/>
    <s v="East"/>
    <n v="0"/>
    <x v="0"/>
    <s v="Apr 2023"/>
  </r>
  <r>
    <s v="CUST132"/>
    <d v="2024-10-30T00:00:00"/>
    <n v="969.61"/>
    <s v="Electronics"/>
    <s v="South"/>
    <n v="1"/>
    <x v="1"/>
    <s v="Oct 2024"/>
  </r>
  <r>
    <s v="CUST133"/>
    <d v="2023-03-23T00:00:00"/>
    <n v="182.62"/>
    <s v="Health"/>
    <s v="North"/>
    <n v="0"/>
    <x v="0"/>
    <s v="Mar 2023"/>
  </r>
  <r>
    <s v="CUST134"/>
    <d v="2023-10-23T00:00:00"/>
    <n v="46.97"/>
    <s v="Books"/>
    <s v="East"/>
    <n v="0"/>
    <x v="0"/>
    <s v="Oct 2023"/>
  </r>
  <r>
    <s v="CUST134"/>
    <d v="2024-08-19T00:00:00"/>
    <n v="82.04"/>
    <s v="Electronics"/>
    <s v="North"/>
    <n v="1"/>
    <x v="1"/>
    <s v="Aug 2024"/>
  </r>
  <r>
    <s v="CUST136"/>
    <d v="2022-10-21T00:00:00"/>
    <n v="194.7"/>
    <s v="Electronics"/>
    <s v="North"/>
    <n v="0"/>
    <x v="0"/>
    <s v="Oct 2022"/>
  </r>
  <r>
    <s v="CUST136"/>
    <d v="2022-12-15T00:00:00"/>
    <n v="307.87"/>
    <s v="Home"/>
    <s v="North"/>
    <n v="1"/>
    <x v="1"/>
    <s v="Dec 2022"/>
  </r>
  <r>
    <s v="CUST136"/>
    <d v="2023-02-13T00:00:00"/>
    <n v="327.57"/>
    <s v="Books"/>
    <s v="West"/>
    <n v="2"/>
    <x v="1"/>
    <s v="Feb 2023"/>
  </r>
  <r>
    <s v="CUST136"/>
    <d v="2023-09-11T00:00:00"/>
    <n v="868.4"/>
    <s v="Health"/>
    <s v="South"/>
    <n v="3"/>
    <x v="1"/>
    <s v="Sept 2023"/>
  </r>
  <r>
    <s v="CUST136"/>
    <d v="2024-01-05T00:00:00"/>
    <n v="287.13"/>
    <s v="Health"/>
    <s v="West"/>
    <n v="4"/>
    <x v="1"/>
    <s v="Jan 2024"/>
  </r>
  <r>
    <s v="CUST137"/>
    <d v="2022-06-17T00:00:00"/>
    <n v="83.81"/>
    <s v="Home"/>
    <s v="North"/>
    <n v="0"/>
    <x v="0"/>
    <s v="Jun 2022"/>
  </r>
  <r>
    <s v="CUST137"/>
    <d v="2023-01-27T00:00:00"/>
    <n v="730.93"/>
    <s v="Home"/>
    <s v="East"/>
    <n v="1"/>
    <x v="1"/>
    <s v="Jan 2023"/>
  </r>
  <r>
    <s v="CUST138"/>
    <d v="2022-04-17T00:00:00"/>
    <n v="500.23"/>
    <s v="Health"/>
    <s v="West"/>
    <n v="0"/>
    <x v="0"/>
    <s v="Apr 2022"/>
  </r>
  <r>
    <s v="CUST138"/>
    <d v="2022-08-24T00:00:00"/>
    <n v="527.51"/>
    <s v="Health"/>
    <s v="East"/>
    <n v="1"/>
    <x v="1"/>
    <s v="Aug 2022"/>
  </r>
  <r>
    <s v="CUST138"/>
    <d v="2022-11-02T00:00:00"/>
    <n v="324.82"/>
    <s v="Books"/>
    <s v="West"/>
    <n v="2"/>
    <x v="1"/>
    <s v="Nov 2022"/>
  </r>
  <r>
    <s v="CUST138"/>
    <d v="2023-06-17T00:00:00"/>
    <n v="272.55"/>
    <s v="Home"/>
    <s v="South"/>
    <n v="3"/>
    <x v="1"/>
    <s v="Jun 2023"/>
  </r>
  <r>
    <s v="CUST138"/>
    <d v="2023-11-25T00:00:00"/>
    <n v="278.12"/>
    <s v="Books"/>
    <s v="West"/>
    <n v="4"/>
    <x v="1"/>
    <s v="Nov 2023"/>
  </r>
  <r>
    <s v="CUST138"/>
    <d v="2024-07-18T00:00:00"/>
    <n v="577.70000000000005"/>
    <s v="Health"/>
    <s v="West"/>
    <n v="5"/>
    <x v="2"/>
    <s v="Jul 2024"/>
  </r>
  <r>
    <s v="CUST138"/>
    <d v="2024-08-19T00:00:00"/>
    <n v="823.64"/>
    <s v="Electronics"/>
    <s v="South"/>
    <n v="6"/>
    <x v="2"/>
    <s v="Aug 2024"/>
  </r>
  <r>
    <s v="CUST139"/>
    <d v="2022-12-10T00:00:00"/>
    <n v="502.28"/>
    <s v="Electronics"/>
    <s v="South"/>
    <n v="0"/>
    <x v="0"/>
    <s v="Dec 2022"/>
  </r>
  <r>
    <s v="CUST139"/>
    <d v="2023-03-02T00:00:00"/>
    <n v="594.98"/>
    <s v="Health"/>
    <s v="East"/>
    <n v="1"/>
    <x v="1"/>
    <s v="Mar 2023"/>
  </r>
  <r>
    <s v="CUST139"/>
    <d v="2023-05-07T00:00:00"/>
    <n v="782.08"/>
    <s v="Home"/>
    <s v="West"/>
    <n v="2"/>
    <x v="1"/>
    <s v="May 2023"/>
  </r>
  <r>
    <s v="CUST139"/>
    <d v="2023-07-13T00:00:00"/>
    <n v="34.07"/>
    <s v="Electronics"/>
    <s v="South"/>
    <n v="3"/>
    <x v="1"/>
    <s v="Jul 2023"/>
  </r>
  <r>
    <s v="CUST139"/>
    <d v="2023-08-26T00:00:00"/>
    <n v="878.6"/>
    <s v="Health"/>
    <s v="North"/>
    <n v="4"/>
    <x v="1"/>
    <s v="Aug 2023"/>
  </r>
  <r>
    <s v="CUST140"/>
    <d v="2022-01-26T00:00:00"/>
    <n v="867.51"/>
    <s v="Electronics"/>
    <s v="East"/>
    <n v="0"/>
    <x v="0"/>
    <s v="Jan 2022"/>
  </r>
  <r>
    <s v="CUST140"/>
    <d v="2022-02-25T00:00:00"/>
    <n v="298.32"/>
    <s v="Clothing"/>
    <s v="North"/>
    <n v="1"/>
    <x v="1"/>
    <s v="Feb 2022"/>
  </r>
  <r>
    <s v="CUST140"/>
    <d v="2023-12-22T00:00:00"/>
    <n v="717.45"/>
    <s v="Electronics"/>
    <s v="South"/>
    <n v="2"/>
    <x v="1"/>
    <s v="Dec 2023"/>
  </r>
  <r>
    <s v="CUST140"/>
    <d v="2024-04-16T00:00:00"/>
    <n v="646.86"/>
    <s v="Books"/>
    <s v="North"/>
    <n v="3"/>
    <x v="1"/>
    <s v="Apr 2024"/>
  </r>
  <r>
    <s v="CUST141"/>
    <d v="2023-02-10T00:00:00"/>
    <n v="540.41999999999996"/>
    <s v="Health"/>
    <s v="North"/>
    <n v="0"/>
    <x v="0"/>
    <s v="Feb 2023"/>
  </r>
  <r>
    <s v="CUST141"/>
    <d v="2023-07-09T00:00:00"/>
    <n v="203.29"/>
    <s v="Home"/>
    <s v="South"/>
    <n v="1"/>
    <x v="1"/>
    <s v="Jul 2023"/>
  </r>
  <r>
    <s v="CUST141"/>
    <d v="2024-09-26T00:00:00"/>
    <n v="652.72"/>
    <s v="Electronics"/>
    <s v="South"/>
    <n v="2"/>
    <x v="1"/>
    <s v="Sept 2024"/>
  </r>
  <r>
    <s v="CUST142"/>
    <d v="2022-04-25T00:00:00"/>
    <n v="665.9"/>
    <s v="Home"/>
    <s v="West"/>
    <n v="0"/>
    <x v="0"/>
    <s v="Apr 2022"/>
  </r>
  <r>
    <s v="CUST142"/>
    <d v="2022-10-24T00:00:00"/>
    <n v="543.95000000000005"/>
    <s v="Home"/>
    <s v="North"/>
    <n v="1"/>
    <x v="1"/>
    <s v="Oct 2022"/>
  </r>
  <r>
    <s v="CUST142"/>
    <d v="2023-04-08T00:00:00"/>
    <n v="878.57"/>
    <s v="Books"/>
    <s v="North"/>
    <n v="2"/>
    <x v="1"/>
    <s v="Apr 2023"/>
  </r>
  <r>
    <s v="CUST142"/>
    <d v="2024-01-11T00:00:00"/>
    <n v="740.52"/>
    <s v="Health"/>
    <s v="West"/>
    <n v="3"/>
    <x v="1"/>
    <s v="Jan 2024"/>
  </r>
  <r>
    <s v="CUST142"/>
    <d v="2024-02-12T00:00:00"/>
    <n v="24.25"/>
    <s v="Electronics"/>
    <s v="West"/>
    <n v="4"/>
    <x v="1"/>
    <s v="Feb 2024"/>
  </r>
  <r>
    <s v="CUST142"/>
    <d v="2024-04-04T00:00:00"/>
    <n v="79.86"/>
    <s v="Electronics"/>
    <s v="South"/>
    <n v="5"/>
    <x v="2"/>
    <s v="Apr 2024"/>
  </r>
  <r>
    <s v="CUST142"/>
    <d v="2024-04-23T00:00:00"/>
    <n v="392.24"/>
    <s v="Home"/>
    <s v="South"/>
    <n v="6"/>
    <x v="2"/>
    <s v="Apr 2024"/>
  </r>
  <r>
    <s v="CUST142"/>
    <d v="2024-09-16T00:00:00"/>
    <n v="429.98"/>
    <s v="Health"/>
    <s v="West"/>
    <n v="7"/>
    <x v="2"/>
    <s v="Sept 2024"/>
  </r>
  <r>
    <s v="CUST143"/>
    <d v="2022-07-05T00:00:00"/>
    <n v="709.79"/>
    <s v="Health"/>
    <s v="East"/>
    <n v="0"/>
    <x v="0"/>
    <s v="Jul 2022"/>
  </r>
  <r>
    <s v="CUST143"/>
    <d v="2023-08-13T00:00:00"/>
    <n v="936.79"/>
    <s v="Books"/>
    <s v="South"/>
    <n v="1"/>
    <x v="1"/>
    <s v="Aug 2023"/>
  </r>
  <r>
    <s v="CUST144"/>
    <d v="2022-02-22T00:00:00"/>
    <n v="529.51"/>
    <s v="Health"/>
    <s v="East"/>
    <n v="0"/>
    <x v="0"/>
    <s v="Feb 2022"/>
  </r>
  <r>
    <s v="CUST144"/>
    <d v="2022-08-23T00:00:00"/>
    <n v="498.86"/>
    <s v="Home"/>
    <s v="North"/>
    <n v="1"/>
    <x v="1"/>
    <s v="Aug 2022"/>
  </r>
  <r>
    <s v="CUST144"/>
    <d v="2024-04-08T00:00:00"/>
    <n v="36.25"/>
    <s v="Electronics"/>
    <s v="West"/>
    <n v="2"/>
    <x v="1"/>
    <s v="Apr 2024"/>
  </r>
  <r>
    <s v="CUST144"/>
    <d v="2024-05-20T00:00:00"/>
    <n v="816.32"/>
    <s v="Books"/>
    <s v="East"/>
    <n v="3"/>
    <x v="1"/>
    <s v="May 2024"/>
  </r>
  <r>
    <s v="CUST145"/>
    <d v="2023-10-22T00:00:00"/>
    <n v="40.200000000000003"/>
    <s v="Clothing"/>
    <s v="East"/>
    <n v="0"/>
    <x v="0"/>
    <s v="Oct 2023"/>
  </r>
  <r>
    <s v="CUST145"/>
    <d v="2023-11-20T00:00:00"/>
    <n v="521.14"/>
    <s v="Electronics"/>
    <s v="North"/>
    <n v="1"/>
    <x v="1"/>
    <s v="Nov 2023"/>
  </r>
  <r>
    <s v="CUST146"/>
    <d v="2022-07-28T00:00:00"/>
    <n v="331.93"/>
    <s v="Electronics"/>
    <s v="South"/>
    <n v="0"/>
    <x v="0"/>
    <s v="Jul 2022"/>
  </r>
  <r>
    <s v="CUST146"/>
    <d v="2023-01-13T00:00:00"/>
    <n v="985.79"/>
    <s v="Clothing"/>
    <s v="West"/>
    <n v="1"/>
    <x v="1"/>
    <s v="Jan 2023"/>
  </r>
  <r>
    <s v="CUST146"/>
    <d v="2023-10-07T00:00:00"/>
    <n v="103.04"/>
    <s v="Health"/>
    <s v="North"/>
    <n v="2"/>
    <x v="1"/>
    <s v="Oct 2023"/>
  </r>
  <r>
    <s v="CUST146"/>
    <d v="2024-09-21T00:00:00"/>
    <n v="65.739999999999995"/>
    <s v="Electronics"/>
    <s v="East"/>
    <n v="3"/>
    <x v="1"/>
    <s v="Sept 2024"/>
  </r>
  <r>
    <s v="CUST147"/>
    <d v="2023-05-09T00:00:00"/>
    <n v="93.3"/>
    <s v="Health"/>
    <s v="South"/>
    <n v="0"/>
    <x v="0"/>
    <s v="May 2023"/>
  </r>
  <r>
    <s v="CUST148"/>
    <d v="2022-05-08T00:00:00"/>
    <n v="551.24"/>
    <s v="Home"/>
    <s v="South"/>
    <n v="0"/>
    <x v="0"/>
    <s v="May 2022"/>
  </r>
  <r>
    <s v="CUST148"/>
    <d v="2023-05-10T00:00:00"/>
    <n v="170.01"/>
    <s v="Health"/>
    <s v="North"/>
    <n v="1"/>
    <x v="1"/>
    <s v="May 2023"/>
  </r>
  <r>
    <s v="CUST148"/>
    <d v="2024-08-10T00:00:00"/>
    <n v="151.56"/>
    <s v="Books"/>
    <s v="West"/>
    <n v="2"/>
    <x v="1"/>
    <s v="Aug 2024"/>
  </r>
  <r>
    <s v="CUST148"/>
    <d v="2024-12-23T00:00:00"/>
    <n v="196.24"/>
    <s v="Books"/>
    <s v="South"/>
    <n v="3"/>
    <x v="1"/>
    <s v="Dec 2024"/>
  </r>
  <r>
    <s v="CUST149"/>
    <d v="2023-08-24T00:00:00"/>
    <n v="523.15"/>
    <s v="Home"/>
    <s v="South"/>
    <n v="0"/>
    <x v="0"/>
    <s v="Aug 2023"/>
  </r>
  <r>
    <s v="CUST149"/>
    <d v="2023-10-11T00:00:00"/>
    <n v="45.58"/>
    <s v="Electronics"/>
    <s v="East"/>
    <n v="1"/>
    <x v="1"/>
    <s v="Oct 2023"/>
  </r>
  <r>
    <s v="CUST149"/>
    <d v="2024-07-24T00:00:00"/>
    <n v="754.85"/>
    <s v="Electronics"/>
    <s v="North"/>
    <n v="2"/>
    <x v="1"/>
    <s v="Jul 2024"/>
  </r>
  <r>
    <s v="CUST149"/>
    <d v="2024-10-04T00:00:00"/>
    <n v="869.91"/>
    <s v="Health"/>
    <s v="South"/>
    <n v="3"/>
    <x v="1"/>
    <s v="Oct 2024"/>
  </r>
  <r>
    <s v="CUST150"/>
    <d v="2022-08-29T00:00:00"/>
    <n v="35.159999999999997"/>
    <s v="Health"/>
    <s v="East"/>
    <n v="0"/>
    <x v="0"/>
    <s v="Aug 2022"/>
  </r>
  <r>
    <s v="CUST150"/>
    <d v="2022-09-02T00:00:00"/>
    <n v="41.11"/>
    <s v="Books"/>
    <s v="North"/>
    <n v="1"/>
    <x v="1"/>
    <s v="Sept 2022"/>
  </r>
  <r>
    <s v="CUST150"/>
    <d v="2023-09-05T00:00:00"/>
    <n v="300.66000000000003"/>
    <s v="Health"/>
    <s v="West"/>
    <n v="2"/>
    <x v="1"/>
    <s v="Sept 2023"/>
  </r>
  <r>
    <s v="CUST150"/>
    <d v="2023-10-20T00:00:00"/>
    <n v="594.91999999999996"/>
    <s v="Health"/>
    <s v="South"/>
    <n v="3"/>
    <x v="1"/>
    <s v="Oct 2023"/>
  </r>
  <r>
    <s v="CUST150"/>
    <d v="2024-04-21T00:00:00"/>
    <n v="942.05"/>
    <s v="Books"/>
    <s v="South"/>
    <n v="4"/>
    <x v="1"/>
    <s v="Apr 20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001"/>
    <x v="0"/>
    <n v="423.24"/>
    <x v="0"/>
    <x v="0"/>
    <n v="0"/>
    <s v="New"/>
    <x v="0"/>
  </r>
  <r>
    <s v="CUST001"/>
    <x v="1"/>
    <n v="291.99"/>
    <x v="0"/>
    <x v="1"/>
    <n v="1"/>
    <s v="Active"/>
    <x v="1"/>
  </r>
  <r>
    <s v="CUST001"/>
    <x v="2"/>
    <n v="301.5"/>
    <x v="1"/>
    <x v="2"/>
    <n v="2"/>
    <s v="Active"/>
    <x v="2"/>
  </r>
  <r>
    <s v="CUST001"/>
    <x v="3"/>
    <n v="380.87"/>
    <x v="0"/>
    <x v="1"/>
    <n v="3"/>
    <s v="Active"/>
    <x v="3"/>
  </r>
  <r>
    <s v="CUST001"/>
    <x v="4"/>
    <n v="703.96"/>
    <x v="1"/>
    <x v="3"/>
    <n v="4"/>
    <s v="Active"/>
    <x v="4"/>
  </r>
  <r>
    <s v="CUST001"/>
    <x v="5"/>
    <n v="748.58"/>
    <x v="0"/>
    <x v="0"/>
    <n v="5"/>
    <s v="Power User"/>
    <x v="5"/>
  </r>
  <r>
    <s v="CUST002"/>
    <x v="6"/>
    <n v="461.51"/>
    <x v="2"/>
    <x v="2"/>
    <n v="0"/>
    <s v="New"/>
    <x v="6"/>
  </r>
  <r>
    <s v="CUST002"/>
    <x v="7"/>
    <n v="819.05"/>
    <x v="3"/>
    <x v="0"/>
    <n v="1"/>
    <s v="Active"/>
    <x v="7"/>
  </r>
  <r>
    <s v="CUST003"/>
    <x v="8"/>
    <n v="809.37"/>
    <x v="0"/>
    <x v="3"/>
    <n v="0"/>
    <s v="New"/>
    <x v="8"/>
  </r>
  <r>
    <s v="CUST003"/>
    <x v="9"/>
    <n v="728.83"/>
    <x v="0"/>
    <x v="3"/>
    <n v="1"/>
    <s v="Active"/>
    <x v="9"/>
  </r>
  <r>
    <s v="CUST003"/>
    <x v="10"/>
    <n v="955.32"/>
    <x v="3"/>
    <x v="1"/>
    <n v="2"/>
    <s v="Active"/>
    <x v="10"/>
  </r>
  <r>
    <s v="CUST003"/>
    <x v="11"/>
    <n v="589.91999999999996"/>
    <x v="3"/>
    <x v="1"/>
    <n v="3"/>
    <s v="Active"/>
    <x v="11"/>
  </r>
  <r>
    <s v="CUST004"/>
    <x v="12"/>
    <n v="649.02"/>
    <x v="4"/>
    <x v="3"/>
    <n v="0"/>
    <s v="New"/>
    <x v="12"/>
  </r>
  <r>
    <s v="CUST005"/>
    <x v="13"/>
    <n v="507.65"/>
    <x v="1"/>
    <x v="2"/>
    <n v="0"/>
    <s v="New"/>
    <x v="1"/>
  </r>
  <r>
    <s v="CUST006"/>
    <x v="14"/>
    <n v="925.45"/>
    <x v="3"/>
    <x v="3"/>
    <n v="0"/>
    <s v="New"/>
    <x v="7"/>
  </r>
  <r>
    <s v="CUST007"/>
    <x v="15"/>
    <n v="951.21"/>
    <x v="3"/>
    <x v="2"/>
    <n v="0"/>
    <s v="New"/>
    <x v="13"/>
  </r>
  <r>
    <s v="CUST007"/>
    <x v="16"/>
    <n v="311.2"/>
    <x v="0"/>
    <x v="3"/>
    <n v="1"/>
    <s v="Active"/>
    <x v="14"/>
  </r>
  <r>
    <s v="CUST007"/>
    <x v="17"/>
    <n v="805.45"/>
    <x v="1"/>
    <x v="0"/>
    <n v="2"/>
    <s v="Active"/>
    <x v="15"/>
  </r>
  <r>
    <s v="CUST007"/>
    <x v="18"/>
    <n v="828.19"/>
    <x v="0"/>
    <x v="3"/>
    <n v="3"/>
    <s v="Active"/>
    <x v="15"/>
  </r>
  <r>
    <s v="CUST007"/>
    <x v="19"/>
    <n v="54.99"/>
    <x v="0"/>
    <x v="1"/>
    <n v="4"/>
    <s v="Active"/>
    <x v="16"/>
  </r>
  <r>
    <s v="CUST008"/>
    <x v="20"/>
    <n v="970.21"/>
    <x v="4"/>
    <x v="1"/>
    <n v="0"/>
    <s v="New"/>
    <x v="14"/>
  </r>
  <r>
    <s v="CUST008"/>
    <x v="21"/>
    <n v="453.96"/>
    <x v="1"/>
    <x v="0"/>
    <n v="1"/>
    <s v="Active"/>
    <x v="17"/>
  </r>
  <r>
    <s v="CUST009"/>
    <x v="22"/>
    <n v="30.38"/>
    <x v="2"/>
    <x v="0"/>
    <n v="0"/>
    <s v="New"/>
    <x v="13"/>
  </r>
  <r>
    <s v="CUST009"/>
    <x v="23"/>
    <n v="124.71"/>
    <x v="3"/>
    <x v="0"/>
    <n v="1"/>
    <s v="Active"/>
    <x v="18"/>
  </r>
  <r>
    <s v="CUST009"/>
    <x v="24"/>
    <n v="898.24"/>
    <x v="4"/>
    <x v="0"/>
    <n v="2"/>
    <s v="Active"/>
    <x v="7"/>
  </r>
  <r>
    <s v="CUST010"/>
    <x v="25"/>
    <n v="463.67"/>
    <x v="4"/>
    <x v="1"/>
    <n v="0"/>
    <s v="New"/>
    <x v="11"/>
  </r>
  <r>
    <s v="CUST010"/>
    <x v="26"/>
    <n v="347.4"/>
    <x v="0"/>
    <x v="1"/>
    <n v="1"/>
    <s v="Active"/>
    <x v="15"/>
  </r>
  <r>
    <s v="CUST010"/>
    <x v="27"/>
    <n v="791.72"/>
    <x v="3"/>
    <x v="0"/>
    <n v="2"/>
    <s v="Active"/>
    <x v="17"/>
  </r>
  <r>
    <s v="CUST011"/>
    <x v="28"/>
    <n v="470.94"/>
    <x v="0"/>
    <x v="2"/>
    <n v="0"/>
    <s v="New"/>
    <x v="19"/>
  </r>
  <r>
    <s v="CUST011"/>
    <x v="29"/>
    <n v="78.67"/>
    <x v="1"/>
    <x v="0"/>
    <n v="1"/>
    <s v="Active"/>
    <x v="11"/>
  </r>
  <r>
    <s v="CUST011"/>
    <x v="30"/>
    <n v="103.5"/>
    <x v="3"/>
    <x v="0"/>
    <n v="2"/>
    <s v="Active"/>
    <x v="20"/>
  </r>
  <r>
    <s v="CUST012"/>
    <x v="31"/>
    <n v="445.75"/>
    <x v="4"/>
    <x v="2"/>
    <n v="0"/>
    <s v="New"/>
    <x v="21"/>
  </r>
  <r>
    <s v="CUST012"/>
    <x v="32"/>
    <n v="777.38"/>
    <x v="2"/>
    <x v="1"/>
    <n v="1"/>
    <s v="Active"/>
    <x v="22"/>
  </r>
  <r>
    <s v="CUST012"/>
    <x v="33"/>
    <n v="54.85"/>
    <x v="4"/>
    <x v="1"/>
    <n v="2"/>
    <s v="Active"/>
    <x v="3"/>
  </r>
  <r>
    <s v="CUST012"/>
    <x v="34"/>
    <n v="110.11"/>
    <x v="2"/>
    <x v="2"/>
    <n v="3"/>
    <s v="Active"/>
    <x v="4"/>
  </r>
  <r>
    <s v="CUST012"/>
    <x v="35"/>
    <n v="288.14999999999998"/>
    <x v="1"/>
    <x v="2"/>
    <n v="4"/>
    <s v="Active"/>
    <x v="16"/>
  </r>
  <r>
    <s v="CUST013"/>
    <x v="36"/>
    <n v="236.51"/>
    <x v="0"/>
    <x v="2"/>
    <n v="0"/>
    <s v="New"/>
    <x v="23"/>
  </r>
  <r>
    <s v="CUST013"/>
    <x v="37"/>
    <n v="287.95999999999998"/>
    <x v="4"/>
    <x v="1"/>
    <n v="1"/>
    <s v="Active"/>
    <x v="12"/>
  </r>
  <r>
    <s v="CUST013"/>
    <x v="38"/>
    <n v="365.9"/>
    <x v="4"/>
    <x v="1"/>
    <n v="2"/>
    <s v="Active"/>
    <x v="24"/>
  </r>
  <r>
    <s v="CUST014"/>
    <x v="39"/>
    <n v="244.88"/>
    <x v="3"/>
    <x v="0"/>
    <n v="0"/>
    <s v="New"/>
    <x v="25"/>
  </r>
  <r>
    <s v="CUST014"/>
    <x v="40"/>
    <n v="439.51"/>
    <x v="3"/>
    <x v="2"/>
    <n v="1"/>
    <s v="Active"/>
    <x v="26"/>
  </r>
  <r>
    <s v="CUST015"/>
    <x v="41"/>
    <n v="83.3"/>
    <x v="0"/>
    <x v="0"/>
    <n v="0"/>
    <s v="New"/>
    <x v="18"/>
  </r>
  <r>
    <s v="CUST015"/>
    <x v="42"/>
    <n v="153.44999999999999"/>
    <x v="2"/>
    <x v="0"/>
    <n v="1"/>
    <s v="Active"/>
    <x v="27"/>
  </r>
  <r>
    <s v="CUST015"/>
    <x v="43"/>
    <n v="148.68"/>
    <x v="2"/>
    <x v="1"/>
    <n v="2"/>
    <s v="Active"/>
    <x v="2"/>
  </r>
  <r>
    <s v="CUST015"/>
    <x v="38"/>
    <n v="705.46"/>
    <x v="4"/>
    <x v="1"/>
    <n v="3"/>
    <s v="Active"/>
    <x v="24"/>
  </r>
  <r>
    <s v="CUST015"/>
    <x v="44"/>
    <n v="516.23"/>
    <x v="2"/>
    <x v="3"/>
    <n v="4"/>
    <s v="Active"/>
    <x v="24"/>
  </r>
  <r>
    <s v="CUST016"/>
    <x v="45"/>
    <n v="534.35"/>
    <x v="2"/>
    <x v="1"/>
    <n v="0"/>
    <s v="New"/>
    <x v="7"/>
  </r>
  <r>
    <s v="CUST016"/>
    <x v="46"/>
    <n v="749.03"/>
    <x v="3"/>
    <x v="1"/>
    <n v="1"/>
    <s v="Active"/>
    <x v="28"/>
  </r>
  <r>
    <s v="CUST016"/>
    <x v="47"/>
    <n v="966.99"/>
    <x v="1"/>
    <x v="3"/>
    <n v="2"/>
    <s v="Active"/>
    <x v="12"/>
  </r>
  <r>
    <s v="CUST016"/>
    <x v="48"/>
    <n v="743.36"/>
    <x v="0"/>
    <x v="3"/>
    <n v="3"/>
    <s v="Active"/>
    <x v="2"/>
  </r>
  <r>
    <s v="CUST017"/>
    <x v="49"/>
    <n v="72.92"/>
    <x v="0"/>
    <x v="0"/>
    <n v="0"/>
    <s v="New"/>
    <x v="18"/>
  </r>
  <r>
    <s v="CUST017"/>
    <x v="50"/>
    <n v="810.04"/>
    <x v="2"/>
    <x v="0"/>
    <n v="1"/>
    <s v="Active"/>
    <x v="8"/>
  </r>
  <r>
    <s v="CUST017"/>
    <x v="51"/>
    <n v="347.66"/>
    <x v="2"/>
    <x v="0"/>
    <n v="2"/>
    <s v="Active"/>
    <x v="7"/>
  </r>
  <r>
    <s v="CUST018"/>
    <x v="52"/>
    <n v="969.89"/>
    <x v="3"/>
    <x v="3"/>
    <n v="0"/>
    <s v="New"/>
    <x v="22"/>
  </r>
  <r>
    <s v="CUST018"/>
    <x v="53"/>
    <n v="245.26"/>
    <x v="0"/>
    <x v="0"/>
    <n v="1"/>
    <s v="Active"/>
    <x v="27"/>
  </r>
  <r>
    <s v="CUST018"/>
    <x v="54"/>
    <n v="102.17"/>
    <x v="1"/>
    <x v="1"/>
    <n v="2"/>
    <s v="Active"/>
    <x v="7"/>
  </r>
  <r>
    <s v="CUST018"/>
    <x v="55"/>
    <n v="704.95"/>
    <x v="1"/>
    <x v="2"/>
    <n v="3"/>
    <s v="Active"/>
    <x v="24"/>
  </r>
  <r>
    <s v="CUST018"/>
    <x v="56"/>
    <n v="797.83"/>
    <x v="1"/>
    <x v="2"/>
    <n v="4"/>
    <s v="Active"/>
    <x v="24"/>
  </r>
  <r>
    <s v="CUST018"/>
    <x v="57"/>
    <n v="699.01"/>
    <x v="1"/>
    <x v="2"/>
    <n v="5"/>
    <s v="Power User"/>
    <x v="29"/>
  </r>
  <r>
    <s v="CUST018"/>
    <x v="58"/>
    <n v="906.33"/>
    <x v="3"/>
    <x v="2"/>
    <n v="6"/>
    <s v="Power User"/>
    <x v="17"/>
  </r>
  <r>
    <s v="CUST018"/>
    <x v="59"/>
    <n v="986.77"/>
    <x v="3"/>
    <x v="1"/>
    <n v="7"/>
    <s v="Power User"/>
    <x v="4"/>
  </r>
  <r>
    <s v="CUST019"/>
    <x v="60"/>
    <n v="149.51"/>
    <x v="4"/>
    <x v="3"/>
    <n v="0"/>
    <s v="New"/>
    <x v="30"/>
  </r>
  <r>
    <s v="CUST019"/>
    <x v="61"/>
    <n v="559.65"/>
    <x v="3"/>
    <x v="1"/>
    <n v="1"/>
    <s v="Active"/>
    <x v="7"/>
  </r>
  <r>
    <s v="CUST019"/>
    <x v="62"/>
    <n v="636.77"/>
    <x v="2"/>
    <x v="3"/>
    <n v="2"/>
    <s v="Active"/>
    <x v="7"/>
  </r>
  <r>
    <s v="CUST019"/>
    <x v="63"/>
    <n v="641.05999999999995"/>
    <x v="0"/>
    <x v="3"/>
    <n v="3"/>
    <s v="Active"/>
    <x v="9"/>
  </r>
  <r>
    <s v="CUST019"/>
    <x v="64"/>
    <n v="797.23"/>
    <x v="1"/>
    <x v="2"/>
    <n v="4"/>
    <s v="Active"/>
    <x v="9"/>
  </r>
  <r>
    <s v="CUST019"/>
    <x v="65"/>
    <n v="461.1"/>
    <x v="0"/>
    <x v="0"/>
    <n v="5"/>
    <s v="Power User"/>
    <x v="31"/>
  </r>
  <r>
    <s v="CUST020"/>
    <x v="66"/>
    <n v="581.13"/>
    <x v="3"/>
    <x v="0"/>
    <n v="0"/>
    <s v="New"/>
    <x v="12"/>
  </r>
  <r>
    <s v="CUST020"/>
    <x v="67"/>
    <n v="579.72"/>
    <x v="1"/>
    <x v="1"/>
    <n v="1"/>
    <s v="Active"/>
    <x v="11"/>
  </r>
  <r>
    <s v="CUST021"/>
    <x v="68"/>
    <n v="266.19"/>
    <x v="0"/>
    <x v="1"/>
    <n v="0"/>
    <s v="New"/>
    <x v="21"/>
  </r>
  <r>
    <s v="CUST021"/>
    <x v="69"/>
    <n v="601.91999999999996"/>
    <x v="3"/>
    <x v="3"/>
    <n v="1"/>
    <s v="Active"/>
    <x v="22"/>
  </r>
  <r>
    <s v="CUST021"/>
    <x v="70"/>
    <n v="249.63"/>
    <x v="4"/>
    <x v="0"/>
    <n v="2"/>
    <s v="Active"/>
    <x v="27"/>
  </r>
  <r>
    <s v="CUST021"/>
    <x v="71"/>
    <n v="800.31"/>
    <x v="1"/>
    <x v="1"/>
    <n v="3"/>
    <s v="Active"/>
    <x v="24"/>
  </r>
  <r>
    <s v="CUST021"/>
    <x v="72"/>
    <n v="547.22"/>
    <x v="2"/>
    <x v="2"/>
    <n v="4"/>
    <s v="Active"/>
    <x v="19"/>
  </r>
  <r>
    <s v="CUST022"/>
    <x v="73"/>
    <n v="675.41"/>
    <x v="1"/>
    <x v="3"/>
    <n v="0"/>
    <s v="New"/>
    <x v="27"/>
  </r>
  <r>
    <s v="CUST022"/>
    <x v="74"/>
    <n v="83.06"/>
    <x v="2"/>
    <x v="1"/>
    <n v="1"/>
    <s v="Active"/>
    <x v="32"/>
  </r>
  <r>
    <s v="CUST023"/>
    <x v="75"/>
    <n v="605.1"/>
    <x v="3"/>
    <x v="2"/>
    <n v="0"/>
    <s v="New"/>
    <x v="13"/>
  </r>
  <r>
    <s v="CUST024"/>
    <x v="76"/>
    <n v="834.12"/>
    <x v="2"/>
    <x v="2"/>
    <n v="0"/>
    <s v="New"/>
    <x v="14"/>
  </r>
  <r>
    <s v="CUST024"/>
    <x v="77"/>
    <n v="949.4"/>
    <x v="1"/>
    <x v="0"/>
    <n v="1"/>
    <s v="Active"/>
    <x v="6"/>
  </r>
  <r>
    <s v="CUST024"/>
    <x v="36"/>
    <n v="758"/>
    <x v="1"/>
    <x v="3"/>
    <n v="2"/>
    <s v="Active"/>
    <x v="23"/>
  </r>
  <r>
    <s v="CUST024"/>
    <x v="78"/>
    <n v="185.34"/>
    <x v="4"/>
    <x v="2"/>
    <n v="3"/>
    <s v="Active"/>
    <x v="12"/>
  </r>
  <r>
    <s v="CUST024"/>
    <x v="79"/>
    <n v="404.52"/>
    <x v="0"/>
    <x v="3"/>
    <n v="4"/>
    <s v="Active"/>
    <x v="26"/>
  </r>
  <r>
    <s v="CUST024"/>
    <x v="80"/>
    <n v="633.1"/>
    <x v="2"/>
    <x v="3"/>
    <n v="5"/>
    <s v="Power User"/>
    <x v="16"/>
  </r>
  <r>
    <s v="CUST025"/>
    <x v="81"/>
    <n v="810.31"/>
    <x v="3"/>
    <x v="2"/>
    <n v="0"/>
    <s v="New"/>
    <x v="21"/>
  </r>
  <r>
    <s v="CUST025"/>
    <x v="82"/>
    <n v="15.01"/>
    <x v="2"/>
    <x v="2"/>
    <n v="1"/>
    <s v="Active"/>
    <x v="25"/>
  </r>
  <r>
    <s v="CUST025"/>
    <x v="83"/>
    <n v="169.2"/>
    <x v="2"/>
    <x v="0"/>
    <n v="2"/>
    <s v="Active"/>
    <x v="25"/>
  </r>
  <r>
    <s v="CUST026"/>
    <x v="84"/>
    <n v="97.61"/>
    <x v="1"/>
    <x v="3"/>
    <n v="0"/>
    <s v="New"/>
    <x v="22"/>
  </r>
  <r>
    <s v="CUST026"/>
    <x v="46"/>
    <n v="332.15"/>
    <x v="1"/>
    <x v="0"/>
    <n v="1"/>
    <s v="Active"/>
    <x v="28"/>
  </r>
  <r>
    <s v="CUST026"/>
    <x v="85"/>
    <n v="725.23"/>
    <x v="0"/>
    <x v="0"/>
    <n v="2"/>
    <s v="Active"/>
    <x v="12"/>
  </r>
  <r>
    <s v="CUST026"/>
    <x v="86"/>
    <n v="329.73"/>
    <x v="2"/>
    <x v="0"/>
    <n v="3"/>
    <s v="Active"/>
    <x v="9"/>
  </r>
  <r>
    <s v="CUST027"/>
    <x v="87"/>
    <n v="67.5"/>
    <x v="1"/>
    <x v="0"/>
    <n v="0"/>
    <s v="New"/>
    <x v="13"/>
  </r>
  <r>
    <s v="CUST027"/>
    <x v="88"/>
    <n v="74.400000000000006"/>
    <x v="2"/>
    <x v="1"/>
    <n v="1"/>
    <s v="Active"/>
    <x v="6"/>
  </r>
  <r>
    <s v="CUST027"/>
    <x v="89"/>
    <n v="615.6"/>
    <x v="2"/>
    <x v="0"/>
    <n v="2"/>
    <s v="Active"/>
    <x v="10"/>
  </r>
  <r>
    <s v="CUST027"/>
    <x v="90"/>
    <n v="846.43"/>
    <x v="2"/>
    <x v="2"/>
    <n v="3"/>
    <s v="Active"/>
    <x v="20"/>
  </r>
  <r>
    <s v="CUST028"/>
    <x v="91"/>
    <n v="329.97"/>
    <x v="0"/>
    <x v="3"/>
    <n v="0"/>
    <s v="New"/>
    <x v="0"/>
  </r>
  <r>
    <s v="CUST028"/>
    <x v="92"/>
    <n v="661.04"/>
    <x v="2"/>
    <x v="0"/>
    <n v="1"/>
    <s v="Active"/>
    <x v="28"/>
  </r>
  <r>
    <s v="CUST028"/>
    <x v="93"/>
    <n v="760.27"/>
    <x v="2"/>
    <x v="0"/>
    <n v="2"/>
    <s v="Active"/>
    <x v="26"/>
  </r>
  <r>
    <s v="CUST028"/>
    <x v="94"/>
    <n v="378.3"/>
    <x v="4"/>
    <x v="2"/>
    <n v="3"/>
    <s v="Active"/>
    <x v="15"/>
  </r>
  <r>
    <s v="CUST028"/>
    <x v="27"/>
    <n v="100.29"/>
    <x v="1"/>
    <x v="3"/>
    <n v="4"/>
    <s v="Active"/>
    <x v="17"/>
  </r>
  <r>
    <s v="CUST029"/>
    <x v="95"/>
    <n v="380.79"/>
    <x v="0"/>
    <x v="0"/>
    <n v="0"/>
    <s v="New"/>
    <x v="13"/>
  </r>
  <r>
    <s v="CUST029"/>
    <x v="96"/>
    <n v="86.21"/>
    <x v="3"/>
    <x v="2"/>
    <n v="1"/>
    <s v="Active"/>
    <x v="23"/>
  </r>
  <r>
    <s v="CUST029"/>
    <x v="97"/>
    <n v="432.84"/>
    <x v="4"/>
    <x v="0"/>
    <n v="2"/>
    <s v="Active"/>
    <x v="0"/>
  </r>
  <r>
    <s v="CUST029"/>
    <x v="13"/>
    <n v="60.96"/>
    <x v="0"/>
    <x v="3"/>
    <n v="3"/>
    <s v="Active"/>
    <x v="1"/>
  </r>
  <r>
    <s v="CUST029"/>
    <x v="98"/>
    <n v="940.83"/>
    <x v="2"/>
    <x v="0"/>
    <n v="4"/>
    <s v="Active"/>
    <x v="11"/>
  </r>
  <r>
    <s v="CUST030"/>
    <x v="99"/>
    <n v="897.13"/>
    <x v="2"/>
    <x v="1"/>
    <n v="0"/>
    <s v="New"/>
    <x v="0"/>
  </r>
  <r>
    <s v="CUST030"/>
    <x v="100"/>
    <n v="362.41"/>
    <x v="4"/>
    <x v="0"/>
    <n v="1"/>
    <s v="Active"/>
    <x v="26"/>
  </r>
  <r>
    <s v="CUST030"/>
    <x v="101"/>
    <n v="300.27999999999997"/>
    <x v="1"/>
    <x v="1"/>
    <n v="2"/>
    <s v="Active"/>
    <x v="17"/>
  </r>
  <r>
    <s v="CUST030"/>
    <x v="102"/>
    <n v="357.41"/>
    <x v="2"/>
    <x v="2"/>
    <n v="3"/>
    <s v="Active"/>
    <x v="4"/>
  </r>
  <r>
    <s v="CUST031"/>
    <x v="103"/>
    <n v="392.87"/>
    <x v="4"/>
    <x v="3"/>
    <n v="0"/>
    <s v="New"/>
    <x v="33"/>
  </r>
  <r>
    <s v="CUST031"/>
    <x v="104"/>
    <n v="381.83"/>
    <x v="0"/>
    <x v="3"/>
    <n v="1"/>
    <s v="Active"/>
    <x v="19"/>
  </r>
  <r>
    <s v="CUST032"/>
    <x v="105"/>
    <n v="44.04"/>
    <x v="4"/>
    <x v="1"/>
    <n v="0"/>
    <s v="New"/>
    <x v="21"/>
  </r>
  <r>
    <s v="CUST032"/>
    <x v="106"/>
    <n v="814.67"/>
    <x v="4"/>
    <x v="2"/>
    <n v="1"/>
    <s v="Active"/>
    <x v="4"/>
  </r>
  <r>
    <s v="CUST033"/>
    <x v="107"/>
    <n v="374.11"/>
    <x v="2"/>
    <x v="3"/>
    <n v="0"/>
    <s v="New"/>
    <x v="27"/>
  </r>
  <r>
    <s v="CUST033"/>
    <x v="108"/>
    <n v="635.98"/>
    <x v="0"/>
    <x v="0"/>
    <n v="1"/>
    <s v="Active"/>
    <x v="27"/>
  </r>
  <r>
    <s v="CUST033"/>
    <x v="29"/>
    <n v="203.83"/>
    <x v="2"/>
    <x v="3"/>
    <n v="2"/>
    <s v="Active"/>
    <x v="11"/>
  </r>
  <r>
    <s v="CUST033"/>
    <x v="109"/>
    <n v="907.29"/>
    <x v="0"/>
    <x v="0"/>
    <n v="3"/>
    <s v="Active"/>
    <x v="5"/>
  </r>
  <r>
    <s v="CUST034"/>
    <x v="110"/>
    <n v="645.61"/>
    <x v="3"/>
    <x v="0"/>
    <n v="0"/>
    <s v="New"/>
    <x v="25"/>
  </r>
  <r>
    <s v="CUST034"/>
    <x v="111"/>
    <n v="94.49"/>
    <x v="4"/>
    <x v="2"/>
    <n v="1"/>
    <s v="Active"/>
    <x v="9"/>
  </r>
  <r>
    <s v="CUST034"/>
    <x v="112"/>
    <n v="963.02"/>
    <x v="3"/>
    <x v="0"/>
    <n v="2"/>
    <s v="Active"/>
    <x v="9"/>
  </r>
  <r>
    <s v="CUST034"/>
    <x v="113"/>
    <n v="508.1"/>
    <x v="4"/>
    <x v="2"/>
    <n v="3"/>
    <s v="Active"/>
    <x v="3"/>
  </r>
  <r>
    <s v="CUST035"/>
    <x v="89"/>
    <n v="425.4"/>
    <x v="0"/>
    <x v="2"/>
    <n v="0"/>
    <s v="New"/>
    <x v="10"/>
  </r>
  <r>
    <s v="CUST036"/>
    <x v="114"/>
    <n v="164.43"/>
    <x v="1"/>
    <x v="3"/>
    <n v="0"/>
    <s v="New"/>
    <x v="13"/>
  </r>
  <r>
    <s v="CUST036"/>
    <x v="115"/>
    <n v="565.66"/>
    <x v="3"/>
    <x v="2"/>
    <n v="1"/>
    <s v="Active"/>
    <x v="34"/>
  </r>
  <r>
    <s v="CUST036"/>
    <x v="116"/>
    <n v="908.49"/>
    <x v="3"/>
    <x v="3"/>
    <n v="2"/>
    <s v="Active"/>
    <x v="23"/>
  </r>
  <r>
    <s v="CUST036"/>
    <x v="117"/>
    <n v="973.28"/>
    <x v="0"/>
    <x v="3"/>
    <n v="3"/>
    <s v="Active"/>
    <x v="28"/>
  </r>
  <r>
    <s v="CUST037"/>
    <x v="118"/>
    <n v="716.11"/>
    <x v="4"/>
    <x v="0"/>
    <n v="0"/>
    <s v="New"/>
    <x v="34"/>
  </r>
  <r>
    <s v="CUST038"/>
    <x v="119"/>
    <n v="961.58"/>
    <x v="2"/>
    <x v="0"/>
    <n v="0"/>
    <s v="New"/>
    <x v="11"/>
  </r>
  <r>
    <s v="CUST038"/>
    <x v="120"/>
    <n v="902.15"/>
    <x v="4"/>
    <x v="0"/>
    <n v="1"/>
    <s v="Active"/>
    <x v="16"/>
  </r>
  <r>
    <s v="CUST038"/>
    <x v="121"/>
    <n v="986.35"/>
    <x v="3"/>
    <x v="3"/>
    <n v="2"/>
    <s v="Active"/>
    <x v="31"/>
  </r>
  <r>
    <s v="CUST039"/>
    <x v="122"/>
    <n v="394.29"/>
    <x v="4"/>
    <x v="3"/>
    <n v="0"/>
    <s v="New"/>
    <x v="11"/>
  </r>
  <r>
    <s v="CUST040"/>
    <x v="123"/>
    <n v="55.99"/>
    <x v="4"/>
    <x v="1"/>
    <n v="0"/>
    <s v="New"/>
    <x v="6"/>
  </r>
  <r>
    <s v="CUST040"/>
    <x v="124"/>
    <n v="296.85000000000002"/>
    <x v="3"/>
    <x v="0"/>
    <n v="1"/>
    <s v="Active"/>
    <x v="23"/>
  </r>
  <r>
    <s v="CUST040"/>
    <x v="125"/>
    <n v="972.06"/>
    <x v="1"/>
    <x v="1"/>
    <n v="2"/>
    <s v="Active"/>
    <x v="1"/>
  </r>
  <r>
    <s v="CUST040"/>
    <x v="126"/>
    <n v="574.36"/>
    <x v="2"/>
    <x v="1"/>
    <n v="3"/>
    <s v="Active"/>
    <x v="2"/>
  </r>
  <r>
    <s v="CUST040"/>
    <x v="127"/>
    <n v="124.91"/>
    <x v="0"/>
    <x v="2"/>
    <n v="4"/>
    <s v="Active"/>
    <x v="26"/>
  </r>
  <r>
    <s v="CUST040"/>
    <x v="128"/>
    <n v="126.98"/>
    <x v="3"/>
    <x v="0"/>
    <n v="5"/>
    <s v="Power User"/>
    <x v="20"/>
  </r>
  <r>
    <s v="CUST041"/>
    <x v="129"/>
    <n v="787.32"/>
    <x v="2"/>
    <x v="2"/>
    <n v="0"/>
    <s v="New"/>
    <x v="6"/>
  </r>
  <r>
    <s v="CUST041"/>
    <x v="130"/>
    <n v="169.61"/>
    <x v="0"/>
    <x v="1"/>
    <n v="1"/>
    <s v="Active"/>
    <x v="23"/>
  </r>
  <r>
    <s v="CUST041"/>
    <x v="131"/>
    <n v="16.88"/>
    <x v="1"/>
    <x v="0"/>
    <n v="2"/>
    <s v="Active"/>
    <x v="0"/>
  </r>
  <r>
    <s v="CUST041"/>
    <x v="132"/>
    <n v="914.11"/>
    <x v="1"/>
    <x v="0"/>
    <n v="3"/>
    <s v="Active"/>
    <x v="24"/>
  </r>
  <r>
    <s v="CUST041"/>
    <x v="133"/>
    <n v="257.74"/>
    <x v="1"/>
    <x v="3"/>
    <n v="4"/>
    <s v="Active"/>
    <x v="29"/>
  </r>
  <r>
    <s v="CUST041"/>
    <x v="94"/>
    <n v="418.49"/>
    <x v="2"/>
    <x v="3"/>
    <n v="5"/>
    <s v="Power User"/>
    <x v="15"/>
  </r>
  <r>
    <s v="CUST042"/>
    <x v="134"/>
    <n v="278.64"/>
    <x v="4"/>
    <x v="1"/>
    <n v="0"/>
    <s v="New"/>
    <x v="30"/>
  </r>
  <r>
    <s v="CUST042"/>
    <x v="135"/>
    <n v="774.52"/>
    <x v="0"/>
    <x v="0"/>
    <n v="1"/>
    <s v="Active"/>
    <x v="30"/>
  </r>
  <r>
    <s v="CUST042"/>
    <x v="136"/>
    <n v="259.26"/>
    <x v="4"/>
    <x v="2"/>
    <n v="2"/>
    <s v="Active"/>
    <x v="1"/>
  </r>
  <r>
    <s v="CUST042"/>
    <x v="137"/>
    <n v="662.11"/>
    <x v="2"/>
    <x v="0"/>
    <n v="3"/>
    <s v="Active"/>
    <x v="3"/>
  </r>
  <r>
    <s v="CUST042"/>
    <x v="138"/>
    <n v="632.65"/>
    <x v="2"/>
    <x v="1"/>
    <n v="4"/>
    <s v="Active"/>
    <x v="20"/>
  </r>
  <r>
    <s v="CUST043"/>
    <x v="139"/>
    <n v="99.39"/>
    <x v="2"/>
    <x v="0"/>
    <n v="0"/>
    <s v="New"/>
    <x v="35"/>
  </r>
  <r>
    <s v="CUST043"/>
    <x v="140"/>
    <n v="954.39"/>
    <x v="1"/>
    <x v="1"/>
    <n v="1"/>
    <s v="Active"/>
    <x v="12"/>
  </r>
  <r>
    <s v="CUST043"/>
    <x v="141"/>
    <n v="963.98"/>
    <x v="4"/>
    <x v="0"/>
    <n v="2"/>
    <s v="Active"/>
    <x v="12"/>
  </r>
  <r>
    <s v="CUST044"/>
    <x v="142"/>
    <n v="804.18"/>
    <x v="3"/>
    <x v="1"/>
    <n v="0"/>
    <s v="New"/>
    <x v="30"/>
  </r>
  <r>
    <s v="CUST044"/>
    <x v="143"/>
    <n v="993.04"/>
    <x v="4"/>
    <x v="1"/>
    <n v="1"/>
    <s v="Active"/>
    <x v="32"/>
  </r>
  <r>
    <s v="CUST045"/>
    <x v="144"/>
    <n v="473.97"/>
    <x v="1"/>
    <x v="0"/>
    <n v="0"/>
    <s v="New"/>
    <x v="5"/>
  </r>
  <r>
    <s v="CUST046"/>
    <x v="145"/>
    <n v="344.24"/>
    <x v="2"/>
    <x v="0"/>
    <n v="0"/>
    <s v="New"/>
    <x v="0"/>
  </r>
  <r>
    <s v="CUST046"/>
    <x v="138"/>
    <n v="878.7"/>
    <x v="3"/>
    <x v="3"/>
    <n v="1"/>
    <s v="Active"/>
    <x v="20"/>
  </r>
  <r>
    <s v="CUST046"/>
    <x v="146"/>
    <n v="289.20999999999998"/>
    <x v="0"/>
    <x v="0"/>
    <n v="2"/>
    <s v="Active"/>
    <x v="15"/>
  </r>
  <r>
    <s v="CUST046"/>
    <x v="147"/>
    <n v="675.79"/>
    <x v="3"/>
    <x v="1"/>
    <n v="3"/>
    <s v="Active"/>
    <x v="17"/>
  </r>
  <r>
    <s v="CUST047"/>
    <x v="148"/>
    <n v="893.13"/>
    <x v="2"/>
    <x v="1"/>
    <n v="0"/>
    <s v="New"/>
    <x v="28"/>
  </r>
  <r>
    <s v="CUST048"/>
    <x v="55"/>
    <n v="653.46"/>
    <x v="1"/>
    <x v="0"/>
    <n v="0"/>
    <s v="New"/>
    <x v="24"/>
  </r>
  <r>
    <s v="CUST049"/>
    <x v="149"/>
    <n v="666.87"/>
    <x v="3"/>
    <x v="3"/>
    <n v="0"/>
    <s v="New"/>
    <x v="25"/>
  </r>
  <r>
    <s v="CUST049"/>
    <x v="150"/>
    <n v="374.04"/>
    <x v="1"/>
    <x v="0"/>
    <n v="1"/>
    <s v="Active"/>
    <x v="28"/>
  </r>
  <r>
    <s v="CUST049"/>
    <x v="151"/>
    <n v="106.2"/>
    <x v="1"/>
    <x v="3"/>
    <n v="2"/>
    <s v="Active"/>
    <x v="2"/>
  </r>
  <r>
    <s v="CUST049"/>
    <x v="152"/>
    <n v="763.9"/>
    <x v="3"/>
    <x v="2"/>
    <n v="3"/>
    <s v="Active"/>
    <x v="4"/>
  </r>
  <r>
    <s v="CUST050"/>
    <x v="153"/>
    <n v="193.01"/>
    <x v="2"/>
    <x v="0"/>
    <n v="0"/>
    <s v="New"/>
    <x v="22"/>
  </r>
  <r>
    <s v="CUST050"/>
    <x v="154"/>
    <n v="102.74"/>
    <x v="3"/>
    <x v="0"/>
    <n v="1"/>
    <s v="Active"/>
    <x v="28"/>
  </r>
  <r>
    <s v="CUST050"/>
    <x v="155"/>
    <n v="326.85000000000002"/>
    <x v="4"/>
    <x v="2"/>
    <n v="2"/>
    <s v="Active"/>
    <x v="15"/>
  </r>
  <r>
    <s v="CUST050"/>
    <x v="156"/>
    <n v="120.09"/>
    <x v="2"/>
    <x v="2"/>
    <n v="3"/>
    <s v="Active"/>
    <x v="5"/>
  </r>
  <r>
    <s v="CUST050"/>
    <x v="157"/>
    <n v="469.06"/>
    <x v="0"/>
    <x v="2"/>
    <n v="4"/>
    <s v="Active"/>
    <x v="31"/>
  </r>
  <r>
    <s v="CUST051"/>
    <x v="158"/>
    <n v="437.63"/>
    <x v="1"/>
    <x v="3"/>
    <n v="0"/>
    <s v="New"/>
    <x v="14"/>
  </r>
  <r>
    <s v="CUST051"/>
    <x v="159"/>
    <n v="369.99"/>
    <x v="0"/>
    <x v="2"/>
    <n v="1"/>
    <s v="Active"/>
    <x v="1"/>
  </r>
  <r>
    <s v="CUST051"/>
    <x v="160"/>
    <n v="709.18"/>
    <x v="4"/>
    <x v="3"/>
    <n v="2"/>
    <s v="Active"/>
    <x v="4"/>
  </r>
  <r>
    <s v="CUST051"/>
    <x v="161"/>
    <n v="588.47"/>
    <x v="1"/>
    <x v="1"/>
    <n v="3"/>
    <s v="Active"/>
    <x v="16"/>
  </r>
  <r>
    <s v="CUST052"/>
    <x v="162"/>
    <n v="680.79"/>
    <x v="4"/>
    <x v="2"/>
    <n v="0"/>
    <s v="New"/>
    <x v="33"/>
  </r>
  <r>
    <s v="CUST052"/>
    <x v="163"/>
    <n v="434.7"/>
    <x v="0"/>
    <x v="0"/>
    <n v="1"/>
    <s v="Active"/>
    <x v="15"/>
  </r>
  <r>
    <s v="CUST053"/>
    <x v="164"/>
    <n v="135.79"/>
    <x v="1"/>
    <x v="2"/>
    <n v="0"/>
    <s v="New"/>
    <x v="19"/>
  </r>
  <r>
    <s v="CUST053"/>
    <x v="165"/>
    <n v="479.43"/>
    <x v="1"/>
    <x v="1"/>
    <n v="1"/>
    <s v="Active"/>
    <x v="26"/>
  </r>
  <r>
    <s v="CUST054"/>
    <x v="166"/>
    <n v="288.13"/>
    <x v="1"/>
    <x v="1"/>
    <n v="0"/>
    <s v="New"/>
    <x v="30"/>
  </r>
  <r>
    <s v="CUST054"/>
    <x v="167"/>
    <n v="856.91"/>
    <x v="0"/>
    <x v="0"/>
    <n v="1"/>
    <s v="Active"/>
    <x v="26"/>
  </r>
  <r>
    <s v="CUST054"/>
    <x v="168"/>
    <n v="80.48"/>
    <x v="2"/>
    <x v="3"/>
    <n v="2"/>
    <s v="Active"/>
    <x v="20"/>
  </r>
  <r>
    <s v="CUST054"/>
    <x v="169"/>
    <n v="381.12"/>
    <x v="4"/>
    <x v="0"/>
    <n v="3"/>
    <s v="Active"/>
    <x v="32"/>
  </r>
  <r>
    <s v="CUST055"/>
    <x v="49"/>
    <n v="317.87"/>
    <x v="2"/>
    <x v="1"/>
    <n v="0"/>
    <s v="New"/>
    <x v="18"/>
  </r>
  <r>
    <s v="CUST055"/>
    <x v="170"/>
    <n v="641.17999999999995"/>
    <x v="3"/>
    <x v="1"/>
    <n v="1"/>
    <s v="Active"/>
    <x v="34"/>
  </r>
  <r>
    <s v="CUST055"/>
    <x v="171"/>
    <n v="50.37"/>
    <x v="1"/>
    <x v="1"/>
    <n v="2"/>
    <s v="Active"/>
    <x v="35"/>
  </r>
  <r>
    <s v="CUST055"/>
    <x v="172"/>
    <n v="888.22"/>
    <x v="4"/>
    <x v="3"/>
    <n v="3"/>
    <s v="Active"/>
    <x v="25"/>
  </r>
  <r>
    <s v="CUST055"/>
    <x v="173"/>
    <n v="929.04"/>
    <x v="3"/>
    <x v="0"/>
    <n v="4"/>
    <s v="Active"/>
    <x v="12"/>
  </r>
  <r>
    <s v="CUST055"/>
    <x v="174"/>
    <n v="444.58"/>
    <x v="3"/>
    <x v="3"/>
    <n v="5"/>
    <s v="Power User"/>
    <x v="9"/>
  </r>
  <r>
    <s v="CUST055"/>
    <x v="175"/>
    <n v="52.73"/>
    <x v="3"/>
    <x v="0"/>
    <n v="6"/>
    <s v="Power User"/>
    <x v="32"/>
  </r>
  <r>
    <s v="CUST056"/>
    <x v="176"/>
    <n v="220.22"/>
    <x v="4"/>
    <x v="2"/>
    <n v="0"/>
    <s v="New"/>
    <x v="14"/>
  </r>
  <r>
    <s v="CUST056"/>
    <x v="177"/>
    <n v="611.47"/>
    <x v="1"/>
    <x v="0"/>
    <n v="1"/>
    <s v="Active"/>
    <x v="6"/>
  </r>
  <r>
    <s v="CUST056"/>
    <x v="178"/>
    <n v="990.15"/>
    <x v="1"/>
    <x v="0"/>
    <n v="2"/>
    <s v="Active"/>
    <x v="2"/>
  </r>
  <r>
    <s v="CUST057"/>
    <x v="179"/>
    <n v="148.1"/>
    <x v="4"/>
    <x v="2"/>
    <n v="0"/>
    <s v="New"/>
    <x v="14"/>
  </r>
  <r>
    <s v="CUST057"/>
    <x v="180"/>
    <n v="731.72"/>
    <x v="1"/>
    <x v="2"/>
    <n v="1"/>
    <s v="Active"/>
    <x v="18"/>
  </r>
  <r>
    <s v="CUST057"/>
    <x v="116"/>
    <n v="513.48"/>
    <x v="4"/>
    <x v="1"/>
    <n v="2"/>
    <s v="Active"/>
    <x v="23"/>
  </r>
  <r>
    <s v="CUST057"/>
    <x v="181"/>
    <n v="663.38"/>
    <x v="2"/>
    <x v="0"/>
    <n v="3"/>
    <s v="Active"/>
    <x v="7"/>
  </r>
  <r>
    <s v="CUST057"/>
    <x v="182"/>
    <n v="859.83"/>
    <x v="1"/>
    <x v="0"/>
    <n v="4"/>
    <s v="Active"/>
    <x v="15"/>
  </r>
  <r>
    <s v="CUST058"/>
    <x v="183"/>
    <n v="164.46"/>
    <x v="4"/>
    <x v="0"/>
    <n v="0"/>
    <s v="New"/>
    <x v="13"/>
  </r>
  <r>
    <s v="CUST058"/>
    <x v="184"/>
    <n v="146.15"/>
    <x v="3"/>
    <x v="2"/>
    <n v="1"/>
    <s v="Active"/>
    <x v="33"/>
  </r>
  <r>
    <s v="CUST058"/>
    <x v="18"/>
    <n v="510.2"/>
    <x v="0"/>
    <x v="3"/>
    <n v="2"/>
    <s v="Active"/>
    <x v="15"/>
  </r>
  <r>
    <s v="CUST058"/>
    <x v="185"/>
    <n v="631.28"/>
    <x v="1"/>
    <x v="0"/>
    <n v="3"/>
    <s v="Active"/>
    <x v="16"/>
  </r>
  <r>
    <s v="CUST059"/>
    <x v="32"/>
    <n v="940.1"/>
    <x v="0"/>
    <x v="0"/>
    <n v="0"/>
    <s v="New"/>
    <x v="22"/>
  </r>
  <r>
    <s v="CUST059"/>
    <x v="41"/>
    <n v="364.88"/>
    <x v="2"/>
    <x v="3"/>
    <n v="1"/>
    <s v="Active"/>
    <x v="18"/>
  </r>
  <r>
    <s v="CUST059"/>
    <x v="181"/>
    <n v="265.36"/>
    <x v="3"/>
    <x v="0"/>
    <n v="2"/>
    <s v="Active"/>
    <x v="7"/>
  </r>
  <r>
    <s v="CUST059"/>
    <x v="186"/>
    <n v="249.43"/>
    <x v="2"/>
    <x v="2"/>
    <n v="3"/>
    <s v="Active"/>
    <x v="7"/>
  </r>
  <r>
    <s v="CUST059"/>
    <x v="187"/>
    <n v="903.53"/>
    <x v="1"/>
    <x v="3"/>
    <n v="4"/>
    <s v="Active"/>
    <x v="15"/>
  </r>
  <r>
    <s v="CUST060"/>
    <x v="188"/>
    <n v="190.01"/>
    <x v="3"/>
    <x v="2"/>
    <n v="0"/>
    <s v="New"/>
    <x v="14"/>
  </r>
  <r>
    <s v="CUST060"/>
    <x v="189"/>
    <n v="922.66"/>
    <x v="4"/>
    <x v="0"/>
    <n v="1"/>
    <s v="Active"/>
    <x v="22"/>
  </r>
  <r>
    <s v="CUST061"/>
    <x v="190"/>
    <n v="355.72"/>
    <x v="1"/>
    <x v="1"/>
    <n v="0"/>
    <s v="New"/>
    <x v="25"/>
  </r>
  <r>
    <s v="CUST061"/>
    <x v="191"/>
    <n v="941.05"/>
    <x v="4"/>
    <x v="3"/>
    <n v="1"/>
    <s v="Active"/>
    <x v="12"/>
  </r>
  <r>
    <s v="CUST061"/>
    <x v="192"/>
    <n v="891.11"/>
    <x v="2"/>
    <x v="2"/>
    <n v="2"/>
    <s v="Active"/>
    <x v="24"/>
  </r>
  <r>
    <s v="CUST061"/>
    <x v="193"/>
    <n v="699.77"/>
    <x v="4"/>
    <x v="3"/>
    <n v="3"/>
    <s v="Active"/>
    <x v="20"/>
  </r>
  <r>
    <s v="CUST061"/>
    <x v="194"/>
    <n v="698.79"/>
    <x v="4"/>
    <x v="0"/>
    <n v="4"/>
    <s v="Active"/>
    <x v="16"/>
  </r>
  <r>
    <s v="CUST062"/>
    <x v="195"/>
    <n v="247.17"/>
    <x v="0"/>
    <x v="0"/>
    <n v="0"/>
    <s v="New"/>
    <x v="27"/>
  </r>
  <r>
    <s v="CUST062"/>
    <x v="42"/>
    <n v="494.56"/>
    <x v="1"/>
    <x v="1"/>
    <n v="1"/>
    <s v="Active"/>
    <x v="27"/>
  </r>
  <r>
    <s v="CUST062"/>
    <x v="196"/>
    <n v="772.29"/>
    <x v="1"/>
    <x v="2"/>
    <n v="2"/>
    <s v="Active"/>
    <x v="9"/>
  </r>
  <r>
    <s v="CUST063"/>
    <x v="197"/>
    <n v="602.66999999999996"/>
    <x v="1"/>
    <x v="1"/>
    <n v="0"/>
    <s v="New"/>
    <x v="13"/>
  </r>
  <r>
    <s v="CUST063"/>
    <x v="198"/>
    <n v="987.02"/>
    <x v="2"/>
    <x v="1"/>
    <n v="1"/>
    <s v="Active"/>
    <x v="30"/>
  </r>
  <r>
    <s v="CUST063"/>
    <x v="199"/>
    <n v="610.36"/>
    <x v="3"/>
    <x v="1"/>
    <n v="2"/>
    <s v="Active"/>
    <x v="25"/>
  </r>
  <r>
    <s v="CUST063"/>
    <x v="200"/>
    <n v="414.86"/>
    <x v="0"/>
    <x v="1"/>
    <n v="3"/>
    <s v="Active"/>
    <x v="29"/>
  </r>
  <r>
    <s v="CUST063"/>
    <x v="201"/>
    <n v="950.91"/>
    <x v="2"/>
    <x v="2"/>
    <n v="4"/>
    <s v="Active"/>
    <x v="31"/>
  </r>
  <r>
    <s v="CUST063"/>
    <x v="121"/>
    <n v="974.65"/>
    <x v="4"/>
    <x v="3"/>
    <n v="5"/>
    <s v="Power User"/>
    <x v="31"/>
  </r>
  <r>
    <s v="CUST064"/>
    <x v="202"/>
    <n v="773.26"/>
    <x v="3"/>
    <x v="1"/>
    <n v="0"/>
    <s v="New"/>
    <x v="34"/>
  </r>
  <r>
    <s v="CUST064"/>
    <x v="203"/>
    <n v="937.36"/>
    <x v="1"/>
    <x v="1"/>
    <n v="1"/>
    <s v="Active"/>
    <x v="33"/>
  </r>
  <r>
    <s v="CUST064"/>
    <x v="204"/>
    <n v="572.63"/>
    <x v="1"/>
    <x v="1"/>
    <n v="2"/>
    <s v="Active"/>
    <x v="28"/>
  </r>
  <r>
    <s v="CUST064"/>
    <x v="205"/>
    <n v="507.61"/>
    <x v="2"/>
    <x v="0"/>
    <n v="3"/>
    <s v="Active"/>
    <x v="12"/>
  </r>
  <r>
    <s v="CUST064"/>
    <x v="206"/>
    <n v="582.5"/>
    <x v="3"/>
    <x v="2"/>
    <n v="4"/>
    <s v="Active"/>
    <x v="19"/>
  </r>
  <r>
    <s v="CUST064"/>
    <x v="168"/>
    <n v="325.79000000000002"/>
    <x v="3"/>
    <x v="1"/>
    <n v="5"/>
    <s v="Power User"/>
    <x v="20"/>
  </r>
  <r>
    <s v="CUST064"/>
    <x v="207"/>
    <n v="808.77"/>
    <x v="2"/>
    <x v="1"/>
    <n v="6"/>
    <s v="Power User"/>
    <x v="15"/>
  </r>
  <r>
    <s v="CUST065"/>
    <x v="208"/>
    <n v="893.63"/>
    <x v="3"/>
    <x v="0"/>
    <n v="0"/>
    <s v="New"/>
    <x v="8"/>
  </r>
  <r>
    <s v="CUST065"/>
    <x v="209"/>
    <n v="181.47"/>
    <x v="3"/>
    <x v="2"/>
    <n v="1"/>
    <s v="Active"/>
    <x v="26"/>
  </r>
  <r>
    <s v="CUST066"/>
    <x v="152"/>
    <n v="622.04"/>
    <x v="2"/>
    <x v="1"/>
    <n v="0"/>
    <s v="New"/>
    <x v="4"/>
  </r>
  <r>
    <s v="CUST067"/>
    <x v="210"/>
    <n v="366.59"/>
    <x v="3"/>
    <x v="0"/>
    <n v="0"/>
    <s v="New"/>
    <x v="19"/>
  </r>
  <r>
    <s v="CUST067"/>
    <x v="211"/>
    <n v="335.38"/>
    <x v="0"/>
    <x v="0"/>
    <n v="1"/>
    <s v="Active"/>
    <x v="17"/>
  </r>
  <r>
    <s v="CUST068"/>
    <x v="212"/>
    <n v="687.39"/>
    <x v="0"/>
    <x v="1"/>
    <n v="0"/>
    <s v="New"/>
    <x v="21"/>
  </r>
  <r>
    <s v="CUST068"/>
    <x v="213"/>
    <n v="763.18"/>
    <x v="0"/>
    <x v="2"/>
    <n v="1"/>
    <s v="Active"/>
    <x v="34"/>
  </r>
  <r>
    <s v="CUST068"/>
    <x v="214"/>
    <n v="433.27"/>
    <x v="3"/>
    <x v="2"/>
    <n v="2"/>
    <s v="Active"/>
    <x v="34"/>
  </r>
  <r>
    <s v="CUST068"/>
    <x v="215"/>
    <n v="229.89"/>
    <x v="4"/>
    <x v="2"/>
    <n v="3"/>
    <s v="Active"/>
    <x v="0"/>
  </r>
  <r>
    <s v="CUST068"/>
    <x v="216"/>
    <n v="836.95"/>
    <x v="2"/>
    <x v="1"/>
    <n v="4"/>
    <s v="Active"/>
    <x v="35"/>
  </r>
  <r>
    <s v="CUST068"/>
    <x v="217"/>
    <n v="852.63"/>
    <x v="4"/>
    <x v="0"/>
    <n v="5"/>
    <s v="Power User"/>
    <x v="2"/>
  </r>
  <r>
    <s v="CUST068"/>
    <x v="218"/>
    <n v="223.66"/>
    <x v="1"/>
    <x v="0"/>
    <n v="6"/>
    <s v="Power User"/>
    <x v="9"/>
  </r>
  <r>
    <s v="CUST068"/>
    <x v="219"/>
    <n v="35.1"/>
    <x v="4"/>
    <x v="0"/>
    <n v="7"/>
    <s v="Power User"/>
    <x v="9"/>
  </r>
  <r>
    <s v="CUST068"/>
    <x v="220"/>
    <n v="255.25"/>
    <x v="3"/>
    <x v="0"/>
    <n v="8"/>
    <s v="Power User"/>
    <x v="10"/>
  </r>
  <r>
    <s v="CUST068"/>
    <x v="221"/>
    <n v="106.86"/>
    <x v="1"/>
    <x v="3"/>
    <n v="9"/>
    <s v="Power User"/>
    <x v="26"/>
  </r>
  <r>
    <s v="CUST068"/>
    <x v="222"/>
    <n v="857.92"/>
    <x v="1"/>
    <x v="0"/>
    <n v="10"/>
    <s v="Power User"/>
    <x v="3"/>
  </r>
  <r>
    <s v="CUST068"/>
    <x v="147"/>
    <n v="793.66"/>
    <x v="3"/>
    <x v="0"/>
    <n v="11"/>
    <s v="Power User"/>
    <x v="17"/>
  </r>
  <r>
    <s v="CUST069"/>
    <x v="166"/>
    <n v="547.27"/>
    <x v="1"/>
    <x v="0"/>
    <n v="0"/>
    <s v="New"/>
    <x v="30"/>
  </r>
  <r>
    <s v="CUST069"/>
    <x v="49"/>
    <n v="337.59"/>
    <x v="2"/>
    <x v="3"/>
    <n v="1"/>
    <s v="Active"/>
    <x v="18"/>
  </r>
  <r>
    <s v="CUST069"/>
    <x v="223"/>
    <n v="118.95"/>
    <x v="2"/>
    <x v="3"/>
    <n v="2"/>
    <s v="Active"/>
    <x v="0"/>
  </r>
  <r>
    <s v="CUST069"/>
    <x v="94"/>
    <n v="990.6"/>
    <x v="4"/>
    <x v="0"/>
    <n v="3"/>
    <s v="Active"/>
    <x v="15"/>
  </r>
  <r>
    <s v="CUST070"/>
    <x v="224"/>
    <n v="817.31"/>
    <x v="4"/>
    <x v="3"/>
    <n v="0"/>
    <s v="New"/>
    <x v="30"/>
  </r>
  <r>
    <s v="CUST070"/>
    <x v="127"/>
    <n v="55.54"/>
    <x v="1"/>
    <x v="0"/>
    <n v="1"/>
    <s v="Active"/>
    <x v="26"/>
  </r>
  <r>
    <s v="CUST071"/>
    <x v="15"/>
    <n v="734.67"/>
    <x v="4"/>
    <x v="3"/>
    <n v="0"/>
    <s v="New"/>
    <x v="13"/>
  </r>
  <r>
    <s v="CUST071"/>
    <x v="225"/>
    <n v="638.74"/>
    <x v="3"/>
    <x v="0"/>
    <n v="1"/>
    <s v="Active"/>
    <x v="3"/>
  </r>
  <r>
    <s v="CUST072"/>
    <x v="6"/>
    <n v="372.7"/>
    <x v="0"/>
    <x v="2"/>
    <n v="0"/>
    <s v="New"/>
    <x v="6"/>
  </r>
  <r>
    <s v="CUST072"/>
    <x v="123"/>
    <n v="596.49"/>
    <x v="2"/>
    <x v="3"/>
    <n v="1"/>
    <s v="Active"/>
    <x v="6"/>
  </r>
  <r>
    <s v="CUST072"/>
    <x v="226"/>
    <n v="54.78"/>
    <x v="3"/>
    <x v="0"/>
    <n v="2"/>
    <s v="Active"/>
    <x v="30"/>
  </r>
  <r>
    <s v="CUST072"/>
    <x v="227"/>
    <n v="728.7"/>
    <x v="4"/>
    <x v="0"/>
    <n v="3"/>
    <s v="Active"/>
    <x v="25"/>
  </r>
  <r>
    <s v="CUST072"/>
    <x v="228"/>
    <n v="634.83000000000004"/>
    <x v="2"/>
    <x v="1"/>
    <n v="4"/>
    <s v="Active"/>
    <x v="12"/>
  </r>
  <r>
    <s v="CUST072"/>
    <x v="229"/>
    <n v="20.73"/>
    <x v="0"/>
    <x v="1"/>
    <n v="5"/>
    <s v="Power User"/>
    <x v="17"/>
  </r>
  <r>
    <s v="CUST072"/>
    <x v="230"/>
    <n v="100.37"/>
    <x v="3"/>
    <x v="2"/>
    <n v="6"/>
    <s v="Power User"/>
    <x v="17"/>
  </r>
  <r>
    <s v="CUST073"/>
    <x v="231"/>
    <n v="164.87"/>
    <x v="2"/>
    <x v="1"/>
    <n v="0"/>
    <s v="New"/>
    <x v="29"/>
  </r>
  <r>
    <s v="CUST073"/>
    <x v="127"/>
    <n v="50.32"/>
    <x v="0"/>
    <x v="3"/>
    <n v="1"/>
    <s v="Active"/>
    <x v="26"/>
  </r>
  <r>
    <s v="CUST073"/>
    <x v="232"/>
    <n v="558.32000000000005"/>
    <x v="1"/>
    <x v="0"/>
    <n v="2"/>
    <s v="Active"/>
    <x v="32"/>
  </r>
  <r>
    <s v="CUST074"/>
    <x v="233"/>
    <n v="177.8"/>
    <x v="0"/>
    <x v="3"/>
    <n v="0"/>
    <s v="New"/>
    <x v="2"/>
  </r>
  <r>
    <s v="CUST074"/>
    <x v="234"/>
    <n v="962.55"/>
    <x v="3"/>
    <x v="2"/>
    <n v="1"/>
    <s v="Active"/>
    <x v="5"/>
  </r>
  <r>
    <s v="CUST075"/>
    <x v="235"/>
    <n v="895.88"/>
    <x v="0"/>
    <x v="3"/>
    <n v="0"/>
    <s v="New"/>
    <x v="22"/>
  </r>
  <r>
    <s v="CUST076"/>
    <x v="236"/>
    <n v="318.58999999999997"/>
    <x v="3"/>
    <x v="2"/>
    <n v="0"/>
    <s v="New"/>
    <x v="22"/>
  </r>
  <r>
    <s v="CUST076"/>
    <x v="237"/>
    <n v="819.83"/>
    <x v="2"/>
    <x v="0"/>
    <n v="1"/>
    <s v="Active"/>
    <x v="0"/>
  </r>
  <r>
    <s v="CUST076"/>
    <x v="238"/>
    <n v="618.86"/>
    <x v="4"/>
    <x v="0"/>
    <n v="2"/>
    <s v="Active"/>
    <x v="2"/>
  </r>
  <r>
    <s v="CUST076"/>
    <x v="239"/>
    <n v="562.82000000000005"/>
    <x v="3"/>
    <x v="1"/>
    <n v="3"/>
    <s v="Active"/>
    <x v="5"/>
  </r>
  <r>
    <s v="CUST077"/>
    <x v="240"/>
    <n v="523.6"/>
    <x v="4"/>
    <x v="0"/>
    <n v="0"/>
    <s v="New"/>
    <x v="0"/>
  </r>
  <r>
    <s v="CUST077"/>
    <x v="241"/>
    <n v="61.16"/>
    <x v="4"/>
    <x v="2"/>
    <n v="1"/>
    <s v="Active"/>
    <x v="9"/>
  </r>
  <r>
    <s v="CUST077"/>
    <x v="242"/>
    <n v="558.80999999999995"/>
    <x v="1"/>
    <x v="2"/>
    <n v="2"/>
    <s v="Active"/>
    <x v="10"/>
  </r>
  <r>
    <s v="CUST077"/>
    <x v="106"/>
    <n v="947.78"/>
    <x v="2"/>
    <x v="1"/>
    <n v="3"/>
    <s v="Active"/>
    <x v="4"/>
  </r>
  <r>
    <s v="CUST078"/>
    <x v="243"/>
    <n v="663.6"/>
    <x v="1"/>
    <x v="1"/>
    <n v="0"/>
    <s v="New"/>
    <x v="29"/>
  </r>
  <r>
    <s v="CUST078"/>
    <x v="244"/>
    <n v="127.63"/>
    <x v="4"/>
    <x v="1"/>
    <n v="1"/>
    <s v="Active"/>
    <x v="5"/>
  </r>
  <r>
    <s v="CUST078"/>
    <x v="245"/>
    <n v="587.54"/>
    <x v="3"/>
    <x v="0"/>
    <n v="2"/>
    <s v="Active"/>
    <x v="5"/>
  </r>
  <r>
    <s v="CUST079"/>
    <x v="246"/>
    <n v="909.18"/>
    <x v="2"/>
    <x v="3"/>
    <n v="0"/>
    <s v="New"/>
    <x v="27"/>
  </r>
  <r>
    <s v="CUST079"/>
    <x v="247"/>
    <n v="109.77"/>
    <x v="0"/>
    <x v="1"/>
    <n v="1"/>
    <s v="Active"/>
    <x v="11"/>
  </r>
  <r>
    <s v="CUST079"/>
    <x v="187"/>
    <n v="112.09"/>
    <x v="0"/>
    <x v="1"/>
    <n v="2"/>
    <s v="Active"/>
    <x v="15"/>
  </r>
  <r>
    <s v="CUST080"/>
    <x v="248"/>
    <n v="26.42"/>
    <x v="2"/>
    <x v="1"/>
    <n v="0"/>
    <s v="New"/>
    <x v="33"/>
  </r>
  <r>
    <s v="CUST080"/>
    <x v="249"/>
    <n v="755.84"/>
    <x v="4"/>
    <x v="3"/>
    <n v="1"/>
    <s v="Active"/>
    <x v="5"/>
  </r>
  <r>
    <s v="CUST080"/>
    <x v="250"/>
    <n v="460"/>
    <x v="3"/>
    <x v="3"/>
    <n v="2"/>
    <s v="Active"/>
    <x v="16"/>
  </r>
  <r>
    <s v="CUST081"/>
    <x v="251"/>
    <n v="864.47"/>
    <x v="1"/>
    <x v="2"/>
    <n v="0"/>
    <s v="New"/>
    <x v="18"/>
  </r>
  <r>
    <s v="CUST081"/>
    <x v="252"/>
    <n v="732.31"/>
    <x v="1"/>
    <x v="1"/>
    <n v="1"/>
    <s v="Active"/>
    <x v="18"/>
  </r>
  <r>
    <s v="CUST081"/>
    <x v="253"/>
    <n v="700.05"/>
    <x v="3"/>
    <x v="0"/>
    <n v="2"/>
    <s v="Active"/>
    <x v="24"/>
  </r>
  <r>
    <s v="CUST081"/>
    <x v="254"/>
    <n v="824.37"/>
    <x v="3"/>
    <x v="3"/>
    <n v="3"/>
    <s v="Active"/>
    <x v="19"/>
  </r>
  <r>
    <s v="CUST081"/>
    <x v="255"/>
    <n v="527.02"/>
    <x v="0"/>
    <x v="0"/>
    <n v="4"/>
    <s v="Active"/>
    <x v="19"/>
  </r>
  <r>
    <s v="CUST081"/>
    <x v="256"/>
    <n v="545.23"/>
    <x v="2"/>
    <x v="0"/>
    <n v="5"/>
    <s v="Power User"/>
    <x v="9"/>
  </r>
  <r>
    <s v="CUST081"/>
    <x v="257"/>
    <n v="554.03"/>
    <x v="2"/>
    <x v="3"/>
    <n v="6"/>
    <s v="Power User"/>
    <x v="4"/>
  </r>
  <r>
    <s v="CUST081"/>
    <x v="258"/>
    <n v="376.94"/>
    <x v="4"/>
    <x v="1"/>
    <n v="7"/>
    <s v="Power User"/>
    <x v="4"/>
  </r>
  <r>
    <s v="CUST083"/>
    <x v="259"/>
    <n v="46.52"/>
    <x v="0"/>
    <x v="3"/>
    <n v="0"/>
    <s v="New"/>
    <x v="1"/>
  </r>
  <r>
    <s v="CUST083"/>
    <x v="260"/>
    <n v="231.36"/>
    <x v="0"/>
    <x v="1"/>
    <n v="1"/>
    <s v="Active"/>
    <x v="32"/>
  </r>
  <r>
    <s v="CUST084"/>
    <x v="261"/>
    <n v="773.56"/>
    <x v="4"/>
    <x v="3"/>
    <n v="0"/>
    <s v="New"/>
    <x v="18"/>
  </r>
  <r>
    <s v="CUST084"/>
    <x v="262"/>
    <n v="92.67"/>
    <x v="1"/>
    <x v="2"/>
    <n v="1"/>
    <s v="Active"/>
    <x v="5"/>
  </r>
  <r>
    <s v="CUST085"/>
    <x v="24"/>
    <n v="901.41"/>
    <x v="0"/>
    <x v="1"/>
    <n v="0"/>
    <s v="New"/>
    <x v="7"/>
  </r>
  <r>
    <s v="CUST085"/>
    <x v="263"/>
    <n v="395.31"/>
    <x v="2"/>
    <x v="1"/>
    <n v="1"/>
    <s v="Active"/>
    <x v="17"/>
  </r>
  <r>
    <s v="CUST085"/>
    <x v="21"/>
    <n v="635.52"/>
    <x v="4"/>
    <x v="0"/>
    <n v="2"/>
    <s v="Active"/>
    <x v="17"/>
  </r>
  <r>
    <s v="CUST085"/>
    <x v="264"/>
    <n v="380.53"/>
    <x v="3"/>
    <x v="2"/>
    <n v="3"/>
    <s v="Active"/>
    <x v="4"/>
  </r>
  <r>
    <s v="CUST086"/>
    <x v="265"/>
    <n v="629.6"/>
    <x v="4"/>
    <x v="2"/>
    <n v="0"/>
    <s v="New"/>
    <x v="3"/>
  </r>
  <r>
    <s v="CUST086"/>
    <x v="266"/>
    <n v="185.67"/>
    <x v="1"/>
    <x v="3"/>
    <n v="1"/>
    <s v="Active"/>
    <x v="15"/>
  </r>
  <r>
    <s v="CUST086"/>
    <x v="267"/>
    <n v="527.87"/>
    <x v="1"/>
    <x v="0"/>
    <n v="2"/>
    <s v="Active"/>
    <x v="16"/>
  </r>
  <r>
    <s v="CUST087"/>
    <x v="88"/>
    <n v="178.82"/>
    <x v="0"/>
    <x v="2"/>
    <n v="0"/>
    <s v="New"/>
    <x v="6"/>
  </r>
  <r>
    <s v="CUST087"/>
    <x v="14"/>
    <n v="122.34"/>
    <x v="2"/>
    <x v="0"/>
    <n v="1"/>
    <s v="Active"/>
    <x v="7"/>
  </r>
  <r>
    <s v="CUST087"/>
    <x v="268"/>
    <n v="850.73"/>
    <x v="3"/>
    <x v="2"/>
    <n v="2"/>
    <s v="Active"/>
    <x v="28"/>
  </r>
  <r>
    <s v="CUST088"/>
    <x v="269"/>
    <n v="519.09"/>
    <x v="3"/>
    <x v="1"/>
    <n v="0"/>
    <s v="New"/>
    <x v="6"/>
  </r>
  <r>
    <s v="CUST088"/>
    <x v="270"/>
    <n v="235.66"/>
    <x v="0"/>
    <x v="1"/>
    <n v="1"/>
    <s v="Active"/>
    <x v="0"/>
  </r>
  <r>
    <s v="CUST088"/>
    <x v="165"/>
    <n v="706.62"/>
    <x v="1"/>
    <x v="2"/>
    <n v="2"/>
    <s v="Active"/>
    <x v="26"/>
  </r>
  <r>
    <s v="CUST089"/>
    <x v="212"/>
    <n v="106.7"/>
    <x v="0"/>
    <x v="0"/>
    <n v="0"/>
    <s v="New"/>
    <x v="21"/>
  </r>
  <r>
    <s v="CUST089"/>
    <x v="257"/>
    <n v="66.98"/>
    <x v="4"/>
    <x v="0"/>
    <n v="1"/>
    <s v="Active"/>
    <x v="4"/>
  </r>
  <r>
    <s v="CUST090"/>
    <x v="271"/>
    <n v="837.62"/>
    <x v="3"/>
    <x v="1"/>
    <n v="0"/>
    <s v="New"/>
    <x v="29"/>
  </r>
  <r>
    <s v="CUST090"/>
    <x v="272"/>
    <n v="757"/>
    <x v="2"/>
    <x v="2"/>
    <n v="1"/>
    <s v="Active"/>
    <x v="15"/>
  </r>
  <r>
    <s v="CUST090"/>
    <x v="230"/>
    <n v="326.12"/>
    <x v="4"/>
    <x v="0"/>
    <n v="2"/>
    <s v="Active"/>
    <x v="17"/>
  </r>
  <r>
    <s v="CUST091"/>
    <x v="273"/>
    <n v="363.19"/>
    <x v="3"/>
    <x v="2"/>
    <n v="0"/>
    <s v="New"/>
    <x v="30"/>
  </r>
  <r>
    <s v="CUST091"/>
    <x v="274"/>
    <n v="694.98"/>
    <x v="0"/>
    <x v="1"/>
    <n v="1"/>
    <s v="Active"/>
    <x v="25"/>
  </r>
  <r>
    <s v="CUST091"/>
    <x v="275"/>
    <n v="33.04"/>
    <x v="0"/>
    <x v="0"/>
    <n v="2"/>
    <s v="Active"/>
    <x v="20"/>
  </r>
  <r>
    <s v="CUST092"/>
    <x v="276"/>
    <n v="311.57"/>
    <x v="0"/>
    <x v="2"/>
    <n v="0"/>
    <s v="New"/>
    <x v="21"/>
  </r>
  <r>
    <s v="CUST092"/>
    <x v="277"/>
    <n v="686.18"/>
    <x v="1"/>
    <x v="3"/>
    <n v="1"/>
    <s v="Active"/>
    <x v="20"/>
  </r>
  <r>
    <s v="CUST093"/>
    <x v="278"/>
    <n v="524.87"/>
    <x v="1"/>
    <x v="2"/>
    <n v="0"/>
    <s v="New"/>
    <x v="22"/>
  </r>
  <r>
    <s v="CUST093"/>
    <x v="279"/>
    <n v="321.20999999999998"/>
    <x v="3"/>
    <x v="1"/>
    <n v="1"/>
    <s v="Active"/>
    <x v="23"/>
  </r>
  <r>
    <s v="CUST093"/>
    <x v="280"/>
    <n v="285.86"/>
    <x v="2"/>
    <x v="2"/>
    <n v="2"/>
    <s v="Active"/>
    <x v="27"/>
  </r>
  <r>
    <s v="CUST094"/>
    <x v="281"/>
    <n v="394.79"/>
    <x v="1"/>
    <x v="2"/>
    <n v="0"/>
    <s v="New"/>
    <x v="30"/>
  </r>
  <r>
    <s v="CUST094"/>
    <x v="282"/>
    <n v="28.04"/>
    <x v="4"/>
    <x v="1"/>
    <n v="1"/>
    <s v="Active"/>
    <x v="20"/>
  </r>
  <r>
    <s v="CUST094"/>
    <x v="160"/>
    <n v="90.54"/>
    <x v="4"/>
    <x v="1"/>
    <n v="2"/>
    <s v="Active"/>
    <x v="4"/>
  </r>
  <r>
    <s v="CUST095"/>
    <x v="283"/>
    <n v="830.45"/>
    <x v="2"/>
    <x v="3"/>
    <n v="0"/>
    <s v="New"/>
    <x v="30"/>
  </r>
  <r>
    <s v="CUST095"/>
    <x v="284"/>
    <n v="181.56"/>
    <x v="4"/>
    <x v="0"/>
    <n v="1"/>
    <s v="Active"/>
    <x v="29"/>
  </r>
  <r>
    <s v="CUST095"/>
    <x v="285"/>
    <n v="550.16"/>
    <x v="3"/>
    <x v="1"/>
    <n v="2"/>
    <s v="Active"/>
    <x v="11"/>
  </r>
  <r>
    <s v="CUST096"/>
    <x v="286"/>
    <n v="962.82"/>
    <x v="0"/>
    <x v="1"/>
    <n v="0"/>
    <s v="New"/>
    <x v="1"/>
  </r>
  <r>
    <s v="CUST096"/>
    <x v="287"/>
    <n v="234.23"/>
    <x v="4"/>
    <x v="0"/>
    <n v="1"/>
    <s v="Active"/>
    <x v="33"/>
  </r>
  <r>
    <s v="CUST097"/>
    <x v="68"/>
    <n v="910.23"/>
    <x v="1"/>
    <x v="0"/>
    <n v="0"/>
    <s v="New"/>
    <x v="21"/>
  </r>
  <r>
    <s v="CUST098"/>
    <x v="288"/>
    <n v="965.98"/>
    <x v="1"/>
    <x v="1"/>
    <n v="0"/>
    <s v="New"/>
    <x v="6"/>
  </r>
  <r>
    <s v="CUST098"/>
    <x v="226"/>
    <n v="204.02"/>
    <x v="2"/>
    <x v="2"/>
    <n v="1"/>
    <s v="Active"/>
    <x v="30"/>
  </r>
  <r>
    <s v="CUST098"/>
    <x v="289"/>
    <n v="15.47"/>
    <x v="2"/>
    <x v="1"/>
    <n v="2"/>
    <s v="Active"/>
    <x v="30"/>
  </r>
  <r>
    <s v="CUST098"/>
    <x v="290"/>
    <n v="872.75"/>
    <x v="4"/>
    <x v="1"/>
    <n v="3"/>
    <s v="Active"/>
    <x v="8"/>
  </r>
  <r>
    <s v="CUST098"/>
    <x v="2"/>
    <n v="854.48"/>
    <x v="1"/>
    <x v="0"/>
    <n v="4"/>
    <s v="Active"/>
    <x v="2"/>
  </r>
  <r>
    <s v="CUST098"/>
    <x v="291"/>
    <n v="778.65"/>
    <x v="4"/>
    <x v="3"/>
    <n v="5"/>
    <s v="Power User"/>
    <x v="15"/>
  </r>
  <r>
    <s v="CUST098"/>
    <x v="144"/>
    <n v="21.24"/>
    <x v="2"/>
    <x v="0"/>
    <n v="6"/>
    <s v="Power User"/>
    <x v="5"/>
  </r>
  <r>
    <s v="CUST099"/>
    <x v="292"/>
    <n v="637.07000000000005"/>
    <x v="1"/>
    <x v="2"/>
    <n v="0"/>
    <s v="New"/>
    <x v="8"/>
  </r>
  <r>
    <s v="CUST099"/>
    <x v="102"/>
    <n v="125.9"/>
    <x v="1"/>
    <x v="3"/>
    <n v="1"/>
    <s v="Active"/>
    <x v="4"/>
  </r>
  <r>
    <s v="CUST099"/>
    <x v="157"/>
    <n v="359.82"/>
    <x v="4"/>
    <x v="3"/>
    <n v="2"/>
    <s v="Active"/>
    <x v="31"/>
  </r>
  <r>
    <s v="CUST100"/>
    <x v="2"/>
    <n v="391.25"/>
    <x v="2"/>
    <x v="2"/>
    <n v="0"/>
    <s v="New"/>
    <x v="2"/>
  </r>
  <r>
    <s v="CUST102"/>
    <x v="293"/>
    <n v="477.49"/>
    <x v="2"/>
    <x v="3"/>
    <n v="0"/>
    <s v="New"/>
    <x v="34"/>
  </r>
  <r>
    <s v="CUST102"/>
    <x v="294"/>
    <n v="626.66"/>
    <x v="1"/>
    <x v="3"/>
    <n v="1"/>
    <s v="Active"/>
    <x v="9"/>
  </r>
  <r>
    <s v="CUST103"/>
    <x v="295"/>
    <n v="627.07000000000005"/>
    <x v="3"/>
    <x v="2"/>
    <n v="0"/>
    <s v="New"/>
    <x v="18"/>
  </r>
  <r>
    <s v="CUST103"/>
    <x v="279"/>
    <n v="640.04999999999995"/>
    <x v="2"/>
    <x v="2"/>
    <n v="1"/>
    <s v="Active"/>
    <x v="23"/>
  </r>
  <r>
    <s v="CUST103"/>
    <x v="296"/>
    <n v="516.97"/>
    <x v="3"/>
    <x v="1"/>
    <n v="2"/>
    <s v="Active"/>
    <x v="33"/>
  </r>
  <r>
    <s v="CUST103"/>
    <x v="173"/>
    <n v="433.9"/>
    <x v="2"/>
    <x v="0"/>
    <n v="3"/>
    <s v="Active"/>
    <x v="12"/>
  </r>
  <r>
    <s v="CUST103"/>
    <x v="297"/>
    <n v="896.57"/>
    <x v="0"/>
    <x v="0"/>
    <n v="4"/>
    <s v="Active"/>
    <x v="17"/>
  </r>
  <r>
    <s v="CUST103"/>
    <x v="298"/>
    <n v="951.1"/>
    <x v="3"/>
    <x v="2"/>
    <n v="5"/>
    <s v="Power User"/>
    <x v="17"/>
  </r>
  <r>
    <s v="CUST103"/>
    <x v="299"/>
    <n v="86.96"/>
    <x v="1"/>
    <x v="2"/>
    <n v="6"/>
    <s v="Power User"/>
    <x v="31"/>
  </r>
  <r>
    <s v="CUST104"/>
    <x v="300"/>
    <n v="653.14"/>
    <x v="3"/>
    <x v="3"/>
    <n v="0"/>
    <s v="New"/>
    <x v="28"/>
  </r>
  <r>
    <s v="CUST104"/>
    <x v="301"/>
    <n v="344.62"/>
    <x v="0"/>
    <x v="1"/>
    <n v="1"/>
    <s v="Active"/>
    <x v="24"/>
  </r>
  <r>
    <s v="CUST104"/>
    <x v="302"/>
    <n v="779.38"/>
    <x v="4"/>
    <x v="0"/>
    <n v="2"/>
    <s v="Active"/>
    <x v="5"/>
  </r>
  <r>
    <s v="CUST104"/>
    <x v="303"/>
    <n v="126.35"/>
    <x v="0"/>
    <x v="2"/>
    <n v="3"/>
    <s v="Active"/>
    <x v="5"/>
  </r>
  <r>
    <s v="CUST105"/>
    <x v="304"/>
    <n v="110.46"/>
    <x v="4"/>
    <x v="2"/>
    <n v="0"/>
    <s v="New"/>
    <x v="25"/>
  </r>
  <r>
    <s v="CUST105"/>
    <x v="140"/>
    <n v="915.72"/>
    <x v="2"/>
    <x v="2"/>
    <n v="1"/>
    <s v="Active"/>
    <x v="12"/>
  </r>
  <r>
    <s v="CUST105"/>
    <x v="305"/>
    <n v="289.04000000000002"/>
    <x v="4"/>
    <x v="1"/>
    <n v="2"/>
    <s v="Active"/>
    <x v="20"/>
  </r>
  <r>
    <s v="CUST105"/>
    <x v="306"/>
    <n v="382.5"/>
    <x v="0"/>
    <x v="2"/>
    <n v="3"/>
    <s v="Active"/>
    <x v="5"/>
  </r>
  <r>
    <s v="CUST106"/>
    <x v="307"/>
    <n v="232.03"/>
    <x v="3"/>
    <x v="2"/>
    <n v="0"/>
    <s v="New"/>
    <x v="25"/>
  </r>
  <r>
    <s v="CUST106"/>
    <x v="308"/>
    <n v="737.72"/>
    <x v="1"/>
    <x v="2"/>
    <n v="1"/>
    <s v="Active"/>
    <x v="20"/>
  </r>
  <r>
    <s v="CUST106"/>
    <x v="309"/>
    <n v="753.11"/>
    <x v="0"/>
    <x v="1"/>
    <n v="2"/>
    <s v="Active"/>
    <x v="15"/>
  </r>
  <r>
    <s v="CUST107"/>
    <x v="310"/>
    <n v="284.61"/>
    <x v="1"/>
    <x v="3"/>
    <n v="0"/>
    <s v="New"/>
    <x v="31"/>
  </r>
  <r>
    <s v="CUST108"/>
    <x v="311"/>
    <n v="615.73"/>
    <x v="0"/>
    <x v="0"/>
    <n v="0"/>
    <s v="New"/>
    <x v="14"/>
  </r>
  <r>
    <s v="CUST108"/>
    <x v="312"/>
    <n v="293.68"/>
    <x v="2"/>
    <x v="0"/>
    <n v="1"/>
    <s v="Active"/>
    <x v="19"/>
  </r>
  <r>
    <s v="CUST108"/>
    <x v="156"/>
    <n v="497.7"/>
    <x v="3"/>
    <x v="1"/>
    <n v="2"/>
    <s v="Active"/>
    <x v="5"/>
  </r>
  <r>
    <s v="CUST109"/>
    <x v="22"/>
    <n v="710.99"/>
    <x v="1"/>
    <x v="2"/>
    <n v="0"/>
    <s v="New"/>
    <x v="13"/>
  </r>
  <r>
    <s v="CUST109"/>
    <x v="313"/>
    <n v="207.68"/>
    <x v="1"/>
    <x v="2"/>
    <n v="1"/>
    <s v="Active"/>
    <x v="6"/>
  </r>
  <r>
    <s v="CUST109"/>
    <x v="314"/>
    <n v="930.4"/>
    <x v="1"/>
    <x v="3"/>
    <n v="2"/>
    <s v="Active"/>
    <x v="8"/>
  </r>
  <r>
    <s v="CUST109"/>
    <x v="315"/>
    <n v="194.65"/>
    <x v="3"/>
    <x v="1"/>
    <n v="3"/>
    <s v="Active"/>
    <x v="35"/>
  </r>
  <r>
    <s v="CUST109"/>
    <x v="316"/>
    <n v="655.44"/>
    <x v="3"/>
    <x v="3"/>
    <n v="4"/>
    <s v="Active"/>
    <x v="25"/>
  </r>
  <r>
    <s v="CUST109"/>
    <x v="317"/>
    <n v="399.17"/>
    <x v="3"/>
    <x v="2"/>
    <n v="5"/>
    <s v="Power User"/>
    <x v="28"/>
  </r>
  <r>
    <s v="CUST109"/>
    <x v="318"/>
    <n v="561.23"/>
    <x v="0"/>
    <x v="2"/>
    <n v="6"/>
    <s v="Power User"/>
    <x v="2"/>
  </r>
  <r>
    <s v="CUST109"/>
    <x v="319"/>
    <n v="619.69000000000005"/>
    <x v="0"/>
    <x v="3"/>
    <n v="7"/>
    <s v="Power User"/>
    <x v="3"/>
  </r>
  <r>
    <s v="CUST110"/>
    <x v="320"/>
    <n v="116.81"/>
    <x v="0"/>
    <x v="3"/>
    <n v="0"/>
    <s v="New"/>
    <x v="34"/>
  </r>
  <r>
    <s v="CUST110"/>
    <x v="321"/>
    <n v="646"/>
    <x v="3"/>
    <x v="1"/>
    <n v="1"/>
    <s v="Active"/>
    <x v="11"/>
  </r>
  <r>
    <s v="CUST111"/>
    <x v="83"/>
    <n v="553.25"/>
    <x v="4"/>
    <x v="0"/>
    <n v="0"/>
    <s v="New"/>
    <x v="25"/>
  </r>
  <r>
    <s v="CUST111"/>
    <x v="322"/>
    <n v="906.3"/>
    <x v="3"/>
    <x v="3"/>
    <n v="1"/>
    <s v="Active"/>
    <x v="11"/>
  </r>
  <r>
    <s v="CUST111"/>
    <x v="59"/>
    <n v="93.99"/>
    <x v="4"/>
    <x v="0"/>
    <n v="2"/>
    <s v="Active"/>
    <x v="4"/>
  </r>
  <r>
    <s v="CUST111"/>
    <x v="169"/>
    <n v="292.85000000000002"/>
    <x v="4"/>
    <x v="0"/>
    <n v="3"/>
    <s v="Active"/>
    <x v="32"/>
  </r>
  <r>
    <s v="CUST112"/>
    <x v="131"/>
    <n v="862.12"/>
    <x v="2"/>
    <x v="3"/>
    <n v="0"/>
    <s v="New"/>
    <x v="0"/>
  </r>
  <r>
    <s v="CUST112"/>
    <x v="323"/>
    <n v="499.48"/>
    <x v="1"/>
    <x v="1"/>
    <n v="1"/>
    <s v="Active"/>
    <x v="4"/>
  </r>
  <r>
    <s v="CUST112"/>
    <x v="324"/>
    <n v="447.12"/>
    <x v="1"/>
    <x v="1"/>
    <n v="2"/>
    <s v="Active"/>
    <x v="4"/>
  </r>
  <r>
    <s v="CUST112"/>
    <x v="325"/>
    <n v="93.27"/>
    <x v="1"/>
    <x v="2"/>
    <n v="3"/>
    <s v="Active"/>
    <x v="4"/>
  </r>
  <r>
    <s v="CUST113"/>
    <x v="326"/>
    <n v="648.72"/>
    <x v="0"/>
    <x v="0"/>
    <n v="0"/>
    <s v="New"/>
    <x v="33"/>
  </r>
  <r>
    <s v="CUST113"/>
    <x v="327"/>
    <n v="553.73"/>
    <x v="3"/>
    <x v="3"/>
    <n v="1"/>
    <s v="Active"/>
    <x v="29"/>
  </r>
  <r>
    <s v="CUST114"/>
    <x v="328"/>
    <n v="497.59"/>
    <x v="2"/>
    <x v="1"/>
    <n v="0"/>
    <s v="New"/>
    <x v="12"/>
  </r>
  <r>
    <s v="CUST114"/>
    <x v="137"/>
    <n v="171.31"/>
    <x v="3"/>
    <x v="2"/>
    <n v="1"/>
    <s v="Active"/>
    <x v="3"/>
  </r>
  <r>
    <s v="CUST114"/>
    <x v="329"/>
    <n v="22.03"/>
    <x v="1"/>
    <x v="1"/>
    <n v="2"/>
    <s v="Active"/>
    <x v="32"/>
  </r>
  <r>
    <s v="CUST114"/>
    <x v="175"/>
    <n v="970.18"/>
    <x v="1"/>
    <x v="0"/>
    <n v="3"/>
    <s v="Active"/>
    <x v="32"/>
  </r>
  <r>
    <s v="CUST115"/>
    <x v="6"/>
    <n v="299.22000000000003"/>
    <x v="1"/>
    <x v="1"/>
    <n v="0"/>
    <s v="New"/>
    <x v="6"/>
  </r>
  <r>
    <s v="CUST115"/>
    <x v="117"/>
    <n v="251.55"/>
    <x v="1"/>
    <x v="3"/>
    <n v="1"/>
    <s v="Active"/>
    <x v="28"/>
  </r>
  <r>
    <s v="CUST116"/>
    <x v="330"/>
    <n v="694.03"/>
    <x v="2"/>
    <x v="1"/>
    <n v="0"/>
    <s v="New"/>
    <x v="33"/>
  </r>
  <r>
    <s v="CUST117"/>
    <x v="281"/>
    <n v="332.08"/>
    <x v="2"/>
    <x v="1"/>
    <n v="0"/>
    <s v="New"/>
    <x v="30"/>
  </r>
  <r>
    <s v="CUST117"/>
    <x v="331"/>
    <n v="515.64"/>
    <x v="0"/>
    <x v="3"/>
    <n v="1"/>
    <s v="Active"/>
    <x v="0"/>
  </r>
  <r>
    <s v="CUST117"/>
    <x v="332"/>
    <n v="323.75"/>
    <x v="4"/>
    <x v="2"/>
    <n v="2"/>
    <s v="Active"/>
    <x v="2"/>
  </r>
  <r>
    <s v="CUST117"/>
    <x v="333"/>
    <n v="623.92999999999995"/>
    <x v="1"/>
    <x v="2"/>
    <n v="3"/>
    <s v="Active"/>
    <x v="31"/>
  </r>
  <r>
    <s v="CUST118"/>
    <x v="31"/>
    <n v="130.82"/>
    <x v="1"/>
    <x v="0"/>
    <n v="0"/>
    <s v="New"/>
    <x v="21"/>
  </r>
  <r>
    <s v="CUST118"/>
    <x v="293"/>
    <n v="128.4"/>
    <x v="0"/>
    <x v="3"/>
    <n v="1"/>
    <s v="Active"/>
    <x v="34"/>
  </r>
  <r>
    <s v="CUST118"/>
    <x v="241"/>
    <n v="536.04"/>
    <x v="2"/>
    <x v="2"/>
    <n v="2"/>
    <s v="Active"/>
    <x v="9"/>
  </r>
  <r>
    <s v="CUST118"/>
    <x v="334"/>
    <n v="976.09"/>
    <x v="4"/>
    <x v="3"/>
    <n v="3"/>
    <s v="Active"/>
    <x v="9"/>
  </r>
  <r>
    <s v="CUST118"/>
    <x v="335"/>
    <n v="753.36"/>
    <x v="0"/>
    <x v="2"/>
    <n v="4"/>
    <s v="Active"/>
    <x v="15"/>
  </r>
  <r>
    <s v="CUST119"/>
    <x v="336"/>
    <n v="206.73"/>
    <x v="3"/>
    <x v="2"/>
    <n v="0"/>
    <s v="New"/>
    <x v="30"/>
  </r>
  <r>
    <s v="CUST119"/>
    <x v="337"/>
    <n v="796.86"/>
    <x v="2"/>
    <x v="3"/>
    <n v="1"/>
    <s v="Active"/>
    <x v="12"/>
  </r>
  <r>
    <s v="CUST120"/>
    <x v="338"/>
    <n v="805.64"/>
    <x v="1"/>
    <x v="2"/>
    <n v="0"/>
    <s v="New"/>
    <x v="8"/>
  </r>
  <r>
    <s v="CUST120"/>
    <x v="307"/>
    <n v="715.06"/>
    <x v="0"/>
    <x v="1"/>
    <n v="1"/>
    <s v="Active"/>
    <x v="25"/>
  </r>
  <r>
    <s v="CUST120"/>
    <x v="339"/>
    <n v="963.59"/>
    <x v="1"/>
    <x v="0"/>
    <n v="2"/>
    <s v="Active"/>
    <x v="32"/>
  </r>
  <r>
    <s v="CUST121"/>
    <x v="340"/>
    <n v="931.45"/>
    <x v="1"/>
    <x v="0"/>
    <n v="0"/>
    <s v="New"/>
    <x v="15"/>
  </r>
  <r>
    <s v="CUST122"/>
    <x v="341"/>
    <n v="637.19000000000005"/>
    <x v="3"/>
    <x v="0"/>
    <n v="0"/>
    <s v="New"/>
    <x v="35"/>
  </r>
  <r>
    <s v="CUST122"/>
    <x v="342"/>
    <n v="899.57"/>
    <x v="1"/>
    <x v="2"/>
    <n v="1"/>
    <s v="Active"/>
    <x v="25"/>
  </r>
  <r>
    <s v="CUST122"/>
    <x v="304"/>
    <n v="19.11"/>
    <x v="4"/>
    <x v="3"/>
    <n v="2"/>
    <s v="Active"/>
    <x v="25"/>
  </r>
  <r>
    <s v="CUST122"/>
    <x v="143"/>
    <n v="532.41999999999996"/>
    <x v="1"/>
    <x v="3"/>
    <n v="3"/>
    <s v="Active"/>
    <x v="32"/>
  </r>
  <r>
    <s v="CUST122"/>
    <x v="343"/>
    <n v="891.36"/>
    <x v="4"/>
    <x v="0"/>
    <n v="4"/>
    <s v="Active"/>
    <x v="31"/>
  </r>
  <r>
    <s v="CUST123"/>
    <x v="344"/>
    <n v="811.27"/>
    <x v="4"/>
    <x v="1"/>
    <n v="0"/>
    <s v="New"/>
    <x v="24"/>
  </r>
  <r>
    <s v="CUST124"/>
    <x v="345"/>
    <n v="25.3"/>
    <x v="1"/>
    <x v="3"/>
    <n v="0"/>
    <s v="New"/>
    <x v="12"/>
  </r>
  <r>
    <s v="CUST125"/>
    <x v="346"/>
    <n v="764"/>
    <x v="2"/>
    <x v="2"/>
    <n v="0"/>
    <s v="New"/>
    <x v="27"/>
  </r>
  <r>
    <s v="CUST125"/>
    <x v="227"/>
    <n v="898.14"/>
    <x v="4"/>
    <x v="3"/>
    <n v="1"/>
    <s v="Active"/>
    <x v="25"/>
  </r>
  <r>
    <s v="CUST125"/>
    <x v="347"/>
    <n v="376.46"/>
    <x v="3"/>
    <x v="1"/>
    <n v="2"/>
    <s v="Active"/>
    <x v="12"/>
  </r>
  <r>
    <s v="CUST125"/>
    <x v="126"/>
    <n v="699.07"/>
    <x v="0"/>
    <x v="2"/>
    <n v="3"/>
    <s v="Active"/>
    <x v="2"/>
  </r>
  <r>
    <s v="CUST126"/>
    <x v="259"/>
    <n v="613.47"/>
    <x v="4"/>
    <x v="0"/>
    <n v="0"/>
    <s v="New"/>
    <x v="1"/>
  </r>
  <r>
    <s v="CUST126"/>
    <x v="209"/>
    <n v="478.74"/>
    <x v="2"/>
    <x v="1"/>
    <n v="1"/>
    <s v="Active"/>
    <x v="26"/>
  </r>
  <r>
    <s v="CUST127"/>
    <x v="36"/>
    <n v="416.28"/>
    <x v="2"/>
    <x v="1"/>
    <n v="0"/>
    <s v="New"/>
    <x v="23"/>
  </r>
  <r>
    <s v="CUST127"/>
    <x v="348"/>
    <n v="587.82000000000005"/>
    <x v="2"/>
    <x v="2"/>
    <n v="1"/>
    <s v="Active"/>
    <x v="31"/>
  </r>
  <r>
    <s v="CUST128"/>
    <x v="349"/>
    <n v="888.34"/>
    <x v="2"/>
    <x v="3"/>
    <n v="0"/>
    <s v="New"/>
    <x v="34"/>
  </r>
  <r>
    <s v="CUST129"/>
    <x v="350"/>
    <n v="128.66999999999999"/>
    <x v="0"/>
    <x v="3"/>
    <n v="0"/>
    <s v="New"/>
    <x v="0"/>
  </r>
  <r>
    <s v="CUST129"/>
    <x v="351"/>
    <n v="812.01"/>
    <x v="2"/>
    <x v="3"/>
    <n v="1"/>
    <s v="Active"/>
    <x v="24"/>
  </r>
  <r>
    <s v="CUST130"/>
    <x v="352"/>
    <n v="191.57"/>
    <x v="1"/>
    <x v="2"/>
    <n v="0"/>
    <s v="New"/>
    <x v="14"/>
  </r>
  <r>
    <s v="CUST130"/>
    <x v="353"/>
    <n v="943.48"/>
    <x v="4"/>
    <x v="2"/>
    <n v="1"/>
    <s v="Active"/>
    <x v="0"/>
  </r>
  <r>
    <s v="CUST130"/>
    <x v="354"/>
    <n v="705.99"/>
    <x v="0"/>
    <x v="0"/>
    <n v="2"/>
    <s v="Active"/>
    <x v="0"/>
  </r>
  <r>
    <s v="CUST130"/>
    <x v="219"/>
    <n v="87.67"/>
    <x v="3"/>
    <x v="1"/>
    <n v="3"/>
    <s v="Active"/>
    <x v="9"/>
  </r>
  <r>
    <s v="CUST130"/>
    <x v="355"/>
    <n v="496.7"/>
    <x v="2"/>
    <x v="0"/>
    <n v="4"/>
    <s v="Active"/>
    <x v="26"/>
  </r>
  <r>
    <s v="CUST130"/>
    <x v="356"/>
    <n v="986.14"/>
    <x v="3"/>
    <x v="1"/>
    <n v="5"/>
    <s v="Power User"/>
    <x v="4"/>
  </r>
  <r>
    <s v="CUST131"/>
    <x v="357"/>
    <n v="256.8"/>
    <x v="1"/>
    <x v="3"/>
    <n v="0"/>
    <s v="New"/>
    <x v="23"/>
  </r>
  <r>
    <s v="CUST131"/>
    <x v="44"/>
    <n v="506.5"/>
    <x v="0"/>
    <x v="1"/>
    <n v="1"/>
    <s v="Active"/>
    <x v="24"/>
  </r>
  <r>
    <s v="CUST131"/>
    <x v="358"/>
    <n v="950.56"/>
    <x v="4"/>
    <x v="0"/>
    <n v="2"/>
    <s v="Active"/>
    <x v="17"/>
  </r>
  <r>
    <s v="CUST131"/>
    <x v="102"/>
    <n v="888.83"/>
    <x v="4"/>
    <x v="0"/>
    <n v="3"/>
    <s v="Active"/>
    <x v="4"/>
  </r>
  <r>
    <s v="CUST131"/>
    <x v="359"/>
    <n v="892.23"/>
    <x v="3"/>
    <x v="0"/>
    <n v="4"/>
    <s v="Active"/>
    <x v="32"/>
  </r>
  <r>
    <s v="CUST132"/>
    <x v="62"/>
    <n v="345.64"/>
    <x v="0"/>
    <x v="0"/>
    <n v="0"/>
    <s v="New"/>
    <x v="7"/>
  </r>
  <r>
    <s v="CUST132"/>
    <x v="360"/>
    <n v="969.61"/>
    <x v="2"/>
    <x v="2"/>
    <n v="1"/>
    <s v="Active"/>
    <x v="32"/>
  </r>
  <r>
    <s v="CUST133"/>
    <x v="361"/>
    <n v="182.62"/>
    <x v="4"/>
    <x v="3"/>
    <n v="0"/>
    <s v="New"/>
    <x v="33"/>
  </r>
  <r>
    <s v="CUST134"/>
    <x v="254"/>
    <n v="46.97"/>
    <x v="3"/>
    <x v="0"/>
    <n v="0"/>
    <s v="New"/>
    <x v="19"/>
  </r>
  <r>
    <s v="CUST134"/>
    <x v="362"/>
    <n v="82.04"/>
    <x v="2"/>
    <x v="3"/>
    <n v="1"/>
    <s v="Active"/>
    <x v="4"/>
  </r>
  <r>
    <s v="CUST136"/>
    <x v="363"/>
    <n v="194.7"/>
    <x v="2"/>
    <x v="3"/>
    <n v="0"/>
    <s v="New"/>
    <x v="8"/>
  </r>
  <r>
    <s v="CUST136"/>
    <x v="364"/>
    <n v="307.87"/>
    <x v="1"/>
    <x v="3"/>
    <n v="1"/>
    <s v="Active"/>
    <x v="1"/>
  </r>
  <r>
    <s v="CUST136"/>
    <x v="365"/>
    <n v="327.57"/>
    <x v="3"/>
    <x v="1"/>
    <n v="2"/>
    <s v="Active"/>
    <x v="35"/>
  </r>
  <r>
    <s v="CUST136"/>
    <x v="366"/>
    <n v="868.4"/>
    <x v="4"/>
    <x v="2"/>
    <n v="3"/>
    <s v="Active"/>
    <x v="24"/>
  </r>
  <r>
    <s v="CUST136"/>
    <x v="367"/>
    <n v="287.13"/>
    <x v="4"/>
    <x v="1"/>
    <n v="4"/>
    <s v="Active"/>
    <x v="10"/>
  </r>
  <r>
    <s v="CUST137"/>
    <x v="368"/>
    <n v="83.81"/>
    <x v="1"/>
    <x v="3"/>
    <n v="0"/>
    <s v="New"/>
    <x v="30"/>
  </r>
  <r>
    <s v="CUST137"/>
    <x v="369"/>
    <n v="730.93"/>
    <x v="1"/>
    <x v="0"/>
    <n v="1"/>
    <s v="Active"/>
    <x v="27"/>
  </r>
  <r>
    <s v="CUST138"/>
    <x v="370"/>
    <n v="500.23"/>
    <x v="4"/>
    <x v="1"/>
    <n v="0"/>
    <s v="New"/>
    <x v="21"/>
  </r>
  <r>
    <s v="CUST138"/>
    <x v="371"/>
    <n v="527.51"/>
    <x v="4"/>
    <x v="0"/>
    <n v="1"/>
    <s v="Active"/>
    <x v="34"/>
  </r>
  <r>
    <s v="CUST138"/>
    <x v="223"/>
    <n v="324.82"/>
    <x v="3"/>
    <x v="1"/>
    <n v="2"/>
    <s v="Active"/>
    <x v="0"/>
  </r>
  <r>
    <s v="CUST138"/>
    <x v="372"/>
    <n v="272.55"/>
    <x v="1"/>
    <x v="2"/>
    <n v="3"/>
    <s v="Active"/>
    <x v="28"/>
  </r>
  <r>
    <s v="CUST138"/>
    <x v="373"/>
    <n v="278.12"/>
    <x v="3"/>
    <x v="1"/>
    <n v="4"/>
    <s v="Active"/>
    <x v="9"/>
  </r>
  <r>
    <s v="CUST138"/>
    <x v="298"/>
    <n v="577.70000000000005"/>
    <x v="4"/>
    <x v="1"/>
    <n v="5"/>
    <s v="Power User"/>
    <x v="17"/>
  </r>
  <r>
    <s v="CUST138"/>
    <x v="362"/>
    <n v="823.64"/>
    <x v="2"/>
    <x v="2"/>
    <n v="6"/>
    <s v="Power User"/>
    <x v="4"/>
  </r>
  <r>
    <s v="CUST139"/>
    <x v="374"/>
    <n v="502.28"/>
    <x v="2"/>
    <x v="2"/>
    <n v="0"/>
    <s v="New"/>
    <x v="1"/>
  </r>
  <r>
    <s v="CUST139"/>
    <x v="375"/>
    <n v="594.98"/>
    <x v="4"/>
    <x v="0"/>
    <n v="1"/>
    <s v="Active"/>
    <x v="33"/>
  </r>
  <r>
    <s v="CUST139"/>
    <x v="376"/>
    <n v="782.08"/>
    <x v="1"/>
    <x v="1"/>
    <n v="2"/>
    <s v="Active"/>
    <x v="25"/>
  </r>
  <r>
    <s v="CUST139"/>
    <x v="377"/>
    <n v="34.07"/>
    <x v="2"/>
    <x v="2"/>
    <n v="3"/>
    <s v="Active"/>
    <x v="12"/>
  </r>
  <r>
    <s v="CUST139"/>
    <x v="378"/>
    <n v="878.6"/>
    <x v="4"/>
    <x v="3"/>
    <n v="4"/>
    <s v="Active"/>
    <x v="2"/>
  </r>
  <r>
    <s v="CUST140"/>
    <x v="75"/>
    <n v="867.51"/>
    <x v="2"/>
    <x v="0"/>
    <n v="0"/>
    <s v="New"/>
    <x v="13"/>
  </r>
  <r>
    <s v="CUST140"/>
    <x v="311"/>
    <n v="298.32"/>
    <x v="0"/>
    <x v="3"/>
    <n v="1"/>
    <s v="Active"/>
    <x v="14"/>
  </r>
  <r>
    <s v="CUST140"/>
    <x v="327"/>
    <n v="717.45"/>
    <x v="2"/>
    <x v="2"/>
    <n v="2"/>
    <s v="Active"/>
    <x v="29"/>
  </r>
  <r>
    <s v="CUST140"/>
    <x v="25"/>
    <n v="646.86"/>
    <x v="3"/>
    <x v="3"/>
    <n v="3"/>
    <s v="Active"/>
    <x v="11"/>
  </r>
  <r>
    <s v="CUST141"/>
    <x v="379"/>
    <n v="540.41999999999996"/>
    <x v="4"/>
    <x v="3"/>
    <n v="0"/>
    <s v="New"/>
    <x v="35"/>
  </r>
  <r>
    <s v="CUST141"/>
    <x v="380"/>
    <n v="203.29"/>
    <x v="1"/>
    <x v="2"/>
    <n v="1"/>
    <s v="Active"/>
    <x v="12"/>
  </r>
  <r>
    <s v="CUST141"/>
    <x v="303"/>
    <n v="652.72"/>
    <x v="2"/>
    <x v="2"/>
    <n v="2"/>
    <s v="Active"/>
    <x v="5"/>
  </r>
  <r>
    <s v="CUST142"/>
    <x v="381"/>
    <n v="665.9"/>
    <x v="1"/>
    <x v="1"/>
    <n v="0"/>
    <s v="New"/>
    <x v="21"/>
  </r>
  <r>
    <s v="CUST142"/>
    <x v="382"/>
    <n v="543.95000000000005"/>
    <x v="1"/>
    <x v="3"/>
    <n v="1"/>
    <s v="Active"/>
    <x v="8"/>
  </r>
  <r>
    <s v="CUST142"/>
    <x v="383"/>
    <n v="878.57"/>
    <x v="3"/>
    <x v="3"/>
    <n v="2"/>
    <s v="Active"/>
    <x v="7"/>
  </r>
  <r>
    <s v="CUST142"/>
    <x v="384"/>
    <n v="740.52"/>
    <x v="4"/>
    <x v="1"/>
    <n v="3"/>
    <s v="Active"/>
    <x v="10"/>
  </r>
  <r>
    <s v="CUST142"/>
    <x v="385"/>
    <n v="24.25"/>
    <x v="2"/>
    <x v="1"/>
    <n v="4"/>
    <s v="Active"/>
    <x v="26"/>
  </r>
  <r>
    <s v="CUST142"/>
    <x v="386"/>
    <n v="79.86"/>
    <x v="2"/>
    <x v="2"/>
    <n v="5"/>
    <s v="Power User"/>
    <x v="11"/>
  </r>
  <r>
    <s v="CUST142"/>
    <x v="119"/>
    <n v="392.24"/>
    <x v="1"/>
    <x v="2"/>
    <n v="6"/>
    <s v="Power User"/>
    <x v="11"/>
  </r>
  <r>
    <s v="CUST142"/>
    <x v="387"/>
    <n v="429.98"/>
    <x v="4"/>
    <x v="1"/>
    <n v="7"/>
    <s v="Power User"/>
    <x v="5"/>
  </r>
  <r>
    <s v="CUST143"/>
    <x v="388"/>
    <n v="709.79"/>
    <x v="4"/>
    <x v="0"/>
    <n v="0"/>
    <s v="New"/>
    <x v="18"/>
  </r>
  <r>
    <s v="CUST143"/>
    <x v="318"/>
    <n v="936.79"/>
    <x v="3"/>
    <x v="2"/>
    <n v="1"/>
    <s v="Active"/>
    <x v="2"/>
  </r>
  <r>
    <s v="CUST144"/>
    <x v="158"/>
    <n v="529.51"/>
    <x v="4"/>
    <x v="0"/>
    <n v="0"/>
    <s v="New"/>
    <x v="14"/>
  </r>
  <r>
    <s v="CUST144"/>
    <x v="202"/>
    <n v="498.86"/>
    <x v="1"/>
    <x v="3"/>
    <n v="1"/>
    <s v="Active"/>
    <x v="34"/>
  </r>
  <r>
    <s v="CUST144"/>
    <x v="11"/>
    <n v="36.25"/>
    <x v="2"/>
    <x v="1"/>
    <n v="2"/>
    <s v="Active"/>
    <x v="11"/>
  </r>
  <r>
    <s v="CUST144"/>
    <x v="305"/>
    <n v="816.32"/>
    <x v="3"/>
    <x v="0"/>
    <n v="3"/>
    <s v="Active"/>
    <x v="20"/>
  </r>
  <r>
    <s v="CUST145"/>
    <x v="389"/>
    <n v="40.200000000000003"/>
    <x v="0"/>
    <x v="0"/>
    <n v="0"/>
    <s v="New"/>
    <x v="19"/>
  </r>
  <r>
    <s v="CUST145"/>
    <x v="86"/>
    <n v="521.14"/>
    <x v="2"/>
    <x v="3"/>
    <n v="1"/>
    <s v="Active"/>
    <x v="9"/>
  </r>
  <r>
    <s v="CUST146"/>
    <x v="390"/>
    <n v="331.93"/>
    <x v="2"/>
    <x v="2"/>
    <n v="0"/>
    <s v="New"/>
    <x v="18"/>
  </r>
  <r>
    <s v="CUST146"/>
    <x v="391"/>
    <n v="985.79"/>
    <x v="0"/>
    <x v="1"/>
    <n v="1"/>
    <s v="Active"/>
    <x v="27"/>
  </r>
  <r>
    <s v="CUST146"/>
    <x v="392"/>
    <n v="103.04"/>
    <x v="4"/>
    <x v="3"/>
    <n v="2"/>
    <s v="Active"/>
    <x v="19"/>
  </r>
  <r>
    <s v="CUST146"/>
    <x v="393"/>
    <n v="65.739999999999995"/>
    <x v="2"/>
    <x v="0"/>
    <n v="3"/>
    <s v="Active"/>
    <x v="5"/>
  </r>
  <r>
    <s v="CUST147"/>
    <x v="394"/>
    <n v="93.3"/>
    <x v="4"/>
    <x v="2"/>
    <n v="0"/>
    <s v="New"/>
    <x v="25"/>
  </r>
  <r>
    <s v="CUST148"/>
    <x v="395"/>
    <n v="551.24"/>
    <x v="1"/>
    <x v="2"/>
    <n v="0"/>
    <s v="New"/>
    <x v="22"/>
  </r>
  <r>
    <s v="CUST148"/>
    <x v="396"/>
    <n v="170.01"/>
    <x v="4"/>
    <x v="3"/>
    <n v="1"/>
    <s v="Active"/>
    <x v="25"/>
  </r>
  <r>
    <s v="CUST148"/>
    <x v="152"/>
    <n v="151.56"/>
    <x v="3"/>
    <x v="1"/>
    <n v="2"/>
    <s v="Active"/>
    <x v="4"/>
  </r>
  <r>
    <s v="CUST148"/>
    <x v="157"/>
    <n v="196.24"/>
    <x v="3"/>
    <x v="2"/>
    <n v="3"/>
    <s v="Active"/>
    <x v="31"/>
  </r>
  <r>
    <s v="CUST149"/>
    <x v="397"/>
    <n v="523.15"/>
    <x v="1"/>
    <x v="2"/>
    <n v="0"/>
    <s v="New"/>
    <x v="2"/>
  </r>
  <r>
    <s v="CUST149"/>
    <x v="398"/>
    <n v="45.58"/>
    <x v="2"/>
    <x v="0"/>
    <n v="1"/>
    <s v="Active"/>
    <x v="19"/>
  </r>
  <r>
    <s v="CUST149"/>
    <x v="147"/>
    <n v="754.85"/>
    <x v="2"/>
    <x v="3"/>
    <n v="2"/>
    <s v="Active"/>
    <x v="17"/>
  </r>
  <r>
    <s v="CUST149"/>
    <x v="260"/>
    <n v="869.91"/>
    <x v="4"/>
    <x v="2"/>
    <n v="3"/>
    <s v="Active"/>
    <x v="32"/>
  </r>
  <r>
    <s v="CUST150"/>
    <x v="399"/>
    <n v="35.159999999999997"/>
    <x v="4"/>
    <x v="0"/>
    <n v="0"/>
    <s v="New"/>
    <x v="34"/>
  </r>
  <r>
    <s v="CUST150"/>
    <x v="400"/>
    <n v="41.11"/>
    <x v="3"/>
    <x v="3"/>
    <n v="1"/>
    <s v="Active"/>
    <x v="23"/>
  </r>
  <r>
    <s v="CUST150"/>
    <x v="401"/>
    <n v="300.66000000000003"/>
    <x v="4"/>
    <x v="1"/>
    <n v="2"/>
    <s v="Active"/>
    <x v="24"/>
  </r>
  <r>
    <s v="CUST150"/>
    <x v="402"/>
    <n v="594.91999999999996"/>
    <x v="4"/>
    <x v="2"/>
    <n v="3"/>
    <s v="Active"/>
    <x v="19"/>
  </r>
  <r>
    <s v="CUST150"/>
    <x v="403"/>
    <n v="942.05"/>
    <x v="3"/>
    <x v="2"/>
    <n v="4"/>
    <s v="Active"/>
    <x v="11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  <r>
    <m/>
    <x v="404"/>
    <m/>
    <x v="5"/>
    <x v="4"/>
    <m/>
    <m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443BA-598F-41DC-93F6-BA3387359FB5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8">
    <pivotField showAll="0"/>
    <pivotField numFmtId="164" showAll="0"/>
    <pivotField dataFiel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ansaction Amount" fld="2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6EC0D-39F0-4AB9-B2BF-4720C4A17700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41" firstHeaderRow="1" firstDataRow="2" firstDataCol="1"/>
  <pivotFields count="8">
    <pivotField showAll="0"/>
    <pivotField showAll="0"/>
    <pivotField dataField="1" showAll="0"/>
    <pivotField showAll="0"/>
    <pivotField axis="axisCol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axis="axisRow" showAll="0">
      <items count="38">
        <item x="21"/>
        <item x="7"/>
        <item x="11"/>
        <item x="34"/>
        <item x="2"/>
        <item x="4"/>
        <item x="1"/>
        <item x="29"/>
        <item x="31"/>
        <item x="14"/>
        <item x="35"/>
        <item x="26"/>
        <item x="13"/>
        <item x="27"/>
        <item x="10"/>
        <item x="18"/>
        <item x="12"/>
        <item x="17"/>
        <item x="30"/>
        <item x="28"/>
        <item x="15"/>
        <item x="6"/>
        <item x="33"/>
        <item x="3"/>
        <item x="22"/>
        <item x="25"/>
        <item x="20"/>
        <item x="0"/>
        <item x="9"/>
        <item x="16"/>
        <item x="8"/>
        <item x="19"/>
        <item x="32"/>
        <item x="23"/>
        <item x="24"/>
        <item x="5"/>
        <item h="1" x="36"/>
        <item t="default"/>
      </items>
    </pivotField>
  </pivotFields>
  <rowFields count="1">
    <field x="7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Transaction Amount" fld="2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01BD1-C581-4B19-AF7D-993459520D7D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B10" firstHeaderRow="1" firstDataRow="1" firstDataCol="1" rowPageCount="1" colPageCount="1"/>
  <pivotFields count="8">
    <pivotField showAll="0"/>
    <pivotField showAll="0">
      <items count="406">
        <item x="95"/>
        <item x="15"/>
        <item x="197"/>
        <item x="183"/>
        <item x="114"/>
        <item x="87"/>
        <item x="75"/>
        <item x="22"/>
        <item x="20"/>
        <item x="76"/>
        <item x="176"/>
        <item x="188"/>
        <item x="352"/>
        <item x="16"/>
        <item x="158"/>
        <item x="311"/>
        <item x="179"/>
        <item x="6"/>
        <item x="129"/>
        <item x="313"/>
        <item x="269"/>
        <item x="123"/>
        <item x="177"/>
        <item x="88"/>
        <item x="77"/>
        <item x="288"/>
        <item x="81"/>
        <item x="276"/>
        <item x="212"/>
        <item x="31"/>
        <item x="370"/>
        <item x="105"/>
        <item x="68"/>
        <item x="381"/>
        <item x="236"/>
        <item x="278"/>
        <item x="395"/>
        <item x="153"/>
        <item x="52"/>
        <item x="32"/>
        <item x="235"/>
        <item x="69"/>
        <item x="189"/>
        <item x="84"/>
        <item x="226"/>
        <item x="281"/>
        <item x="134"/>
        <item x="283"/>
        <item x="273"/>
        <item x="166"/>
        <item x="60"/>
        <item x="142"/>
        <item x="368"/>
        <item x="198"/>
        <item x="135"/>
        <item x="336"/>
        <item x="289"/>
        <item x="224"/>
        <item x="388"/>
        <item x="180"/>
        <item x="261"/>
        <item x="41"/>
        <item x="23"/>
        <item x="251"/>
        <item x="295"/>
        <item x="49"/>
        <item x="390"/>
        <item x="252"/>
        <item x="170"/>
        <item x="349"/>
        <item x="293"/>
        <item x="118"/>
        <item x="213"/>
        <item x="115"/>
        <item x="202"/>
        <item x="371"/>
        <item x="214"/>
        <item x="399"/>
        <item x="320"/>
        <item x="400"/>
        <item x="279"/>
        <item x="116"/>
        <item x="357"/>
        <item x="36"/>
        <item x="96"/>
        <item x="124"/>
        <item x="130"/>
        <item x="314"/>
        <item x="50"/>
        <item x="292"/>
        <item x="290"/>
        <item x="338"/>
        <item x="363"/>
        <item x="208"/>
        <item x="382"/>
        <item x="8"/>
        <item x="99"/>
        <item x="223"/>
        <item x="270"/>
        <item x="97"/>
        <item x="237"/>
        <item x="131"/>
        <item x="331"/>
        <item x="0"/>
        <item x="215"/>
        <item x="350"/>
        <item x="145"/>
        <item x="353"/>
        <item x="91"/>
        <item x="240"/>
        <item x="354"/>
        <item x="159"/>
        <item x="125"/>
        <item x="286"/>
        <item x="136"/>
        <item x="374"/>
        <item x="364"/>
        <item x="1"/>
        <item x="259"/>
        <item x="13"/>
        <item x="280"/>
        <item x="246"/>
        <item x="195"/>
        <item x="42"/>
        <item x="391"/>
        <item x="70"/>
        <item x="73"/>
        <item x="346"/>
        <item x="53"/>
        <item x="369"/>
        <item x="107"/>
        <item x="108"/>
        <item x="341"/>
        <item x="379"/>
        <item x="139"/>
        <item x="216"/>
        <item x="365"/>
        <item x="315"/>
        <item x="171"/>
        <item x="375"/>
        <item x="162"/>
        <item x="248"/>
        <item x="296"/>
        <item x="287"/>
        <item x="326"/>
        <item x="361"/>
        <item x="330"/>
        <item x="103"/>
        <item x="203"/>
        <item x="184"/>
        <item x="51"/>
        <item x="14"/>
        <item x="383"/>
        <item x="181"/>
        <item x="7"/>
        <item x="61"/>
        <item x="45"/>
        <item x="186"/>
        <item x="54"/>
        <item x="24"/>
        <item x="62"/>
        <item x="190"/>
        <item x="227"/>
        <item x="172"/>
        <item x="376"/>
        <item x="110"/>
        <item x="394"/>
        <item x="396"/>
        <item x="342"/>
        <item x="199"/>
        <item x="304"/>
        <item x="149"/>
        <item x="82"/>
        <item x="83"/>
        <item x="274"/>
        <item x="316"/>
        <item x="307"/>
        <item x="39"/>
        <item x="46"/>
        <item x="300"/>
        <item x="268"/>
        <item x="92"/>
        <item x="204"/>
        <item x="154"/>
        <item x="150"/>
        <item x="372"/>
        <item x="117"/>
        <item x="317"/>
        <item x="148"/>
        <item x="228"/>
        <item x="337"/>
        <item x="205"/>
        <item x="66"/>
        <item x="328"/>
        <item x="380"/>
        <item x="85"/>
        <item x="37"/>
        <item x="377"/>
        <item x="12"/>
        <item x="78"/>
        <item x="191"/>
        <item x="140"/>
        <item x="347"/>
        <item x="345"/>
        <item x="173"/>
        <item x="47"/>
        <item x="141"/>
        <item x="2"/>
        <item x="217"/>
        <item x="332"/>
        <item x="233"/>
        <item x="318"/>
        <item x="126"/>
        <item x="151"/>
        <item x="238"/>
        <item x="178"/>
        <item x="43"/>
        <item x="397"/>
        <item x="378"/>
        <item x="48"/>
        <item x="253"/>
        <item x="38"/>
        <item x="401"/>
        <item x="344"/>
        <item x="351"/>
        <item x="366"/>
        <item x="132"/>
        <item x="44"/>
        <item x="71"/>
        <item x="55"/>
        <item x="56"/>
        <item x="192"/>
        <item x="301"/>
        <item x="104"/>
        <item x="392"/>
        <item x="206"/>
        <item x="398"/>
        <item x="28"/>
        <item x="72"/>
        <item x="312"/>
        <item x="402"/>
        <item x="389"/>
        <item x="254"/>
        <item x="210"/>
        <item x="164"/>
        <item x="255"/>
        <item x="196"/>
        <item x="218"/>
        <item x="294"/>
        <item x="111"/>
        <item x="241"/>
        <item x="256"/>
        <item x="63"/>
        <item x="9"/>
        <item x="334"/>
        <item x="86"/>
        <item x="64"/>
        <item x="373"/>
        <item x="174"/>
        <item x="219"/>
        <item x="112"/>
        <item x="271"/>
        <item x="57"/>
        <item x="200"/>
        <item x="284"/>
        <item x="231"/>
        <item x="133"/>
        <item x="327"/>
        <item x="243"/>
        <item x="367"/>
        <item x="10"/>
        <item x="384"/>
        <item x="242"/>
        <item x="89"/>
        <item x="220"/>
        <item x="100"/>
        <item x="93"/>
        <item x="385"/>
        <item x="127"/>
        <item x="167"/>
        <item x="165"/>
        <item x="221"/>
        <item x="355"/>
        <item x="209"/>
        <item x="40"/>
        <item x="79"/>
        <item x="319"/>
        <item x="225"/>
        <item x="33"/>
        <item x="3"/>
        <item x="265"/>
        <item x="113"/>
        <item x="222"/>
        <item x="137"/>
        <item x="386"/>
        <item x="321"/>
        <item x="11"/>
        <item x="98"/>
        <item x="67"/>
        <item x="122"/>
        <item x="25"/>
        <item x="285"/>
        <item x="403"/>
        <item x="119"/>
        <item x="322"/>
        <item x="29"/>
        <item x="247"/>
        <item x="282"/>
        <item x="30"/>
        <item x="277"/>
        <item x="168"/>
        <item x="90"/>
        <item x="275"/>
        <item x="305"/>
        <item x="128"/>
        <item x="193"/>
        <item x="138"/>
        <item x="308"/>
        <item x="17"/>
        <item x="146"/>
        <item x="266"/>
        <item x="309"/>
        <item x="207"/>
        <item x="94"/>
        <item x="291"/>
        <item x="26"/>
        <item x="340"/>
        <item x="182"/>
        <item x="163"/>
        <item x="335"/>
        <item x="272"/>
        <item x="187"/>
        <item x="18"/>
        <item x="155"/>
        <item x="297"/>
        <item x="263"/>
        <item x="229"/>
        <item x="58"/>
        <item x="230"/>
        <item x="358"/>
        <item x="298"/>
        <item x="21"/>
        <item x="101"/>
        <item x="211"/>
        <item x="147"/>
        <item x="27"/>
        <item x="323"/>
        <item x="257"/>
        <item x="324"/>
        <item x="102"/>
        <item x="152"/>
        <item x="34"/>
        <item x="325"/>
        <item x="4"/>
        <item x="362"/>
        <item x="160"/>
        <item x="59"/>
        <item x="264"/>
        <item x="258"/>
        <item x="106"/>
        <item x="356"/>
        <item x="249"/>
        <item x="306"/>
        <item x="262"/>
        <item x="302"/>
        <item x="239"/>
        <item x="387"/>
        <item x="109"/>
        <item x="156"/>
        <item x="144"/>
        <item x="393"/>
        <item x="244"/>
        <item x="303"/>
        <item x="5"/>
        <item x="245"/>
        <item x="234"/>
        <item x="169"/>
        <item x="260"/>
        <item x="339"/>
        <item x="329"/>
        <item x="175"/>
        <item x="359"/>
        <item x="143"/>
        <item x="74"/>
        <item x="232"/>
        <item x="360"/>
        <item x="267"/>
        <item x="80"/>
        <item x="194"/>
        <item x="250"/>
        <item x="185"/>
        <item x="161"/>
        <item x="120"/>
        <item x="19"/>
        <item x="35"/>
        <item x="201"/>
        <item x="343"/>
        <item x="65"/>
        <item x="333"/>
        <item x="310"/>
        <item x="157"/>
        <item x="348"/>
        <item x="299"/>
        <item x="121"/>
        <item x="404"/>
        <item t="default"/>
      </items>
    </pivotField>
    <pivotField dataField="1" showAll="0"/>
    <pivotField axis="axisRow" showAll="0">
      <items count="7">
        <item x="3"/>
        <item x="0"/>
        <item x="2"/>
        <item x="4"/>
        <item x="1"/>
        <item x="5"/>
        <item t="default"/>
      </items>
    </pivotField>
    <pivotField showAll="0"/>
    <pivotField showAll="0"/>
    <pivotField showAll="0"/>
    <pivotField axis="axisPage" multipleItemSelectionAllowed="1" showAll="0">
      <items count="38">
        <item h="1" x="21"/>
        <item h="1" x="7"/>
        <item x="11"/>
        <item h="1" x="34"/>
        <item h="1" x="2"/>
        <item x="4"/>
        <item h="1" x="1"/>
        <item h="1" x="29"/>
        <item x="31"/>
        <item h="1" x="14"/>
        <item h="1" x="35"/>
        <item x="26"/>
        <item h="1" x="13"/>
        <item h="1" x="27"/>
        <item x="10"/>
        <item h="1" x="18"/>
        <item h="1" x="12"/>
        <item x="17"/>
        <item h="1" x="30"/>
        <item h="1" x="28"/>
        <item x="15"/>
        <item h="1" x="6"/>
        <item h="1" x="33"/>
        <item x="3"/>
        <item h="1" x="22"/>
        <item h="1" x="25"/>
        <item x="20"/>
        <item h="1" x="0"/>
        <item h="1" x="9"/>
        <item x="16"/>
        <item h="1" x="8"/>
        <item h="1" x="19"/>
        <item x="32"/>
        <item h="1" x="23"/>
        <item h="1" x="24"/>
        <item x="5"/>
        <item h="1" x="36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Sum of Transaction Amount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B7E68-C914-4DE7-AB56-20D43B805C44}" name="Table1" displayName="Table1" ref="A1:H501" totalsRowShown="0" headerRowDxfId="3" dataDxfId="4">
  <autoFilter ref="A1:H501" xr:uid="{9B8B7E68-C914-4DE7-AB56-20D43B805C44}"/>
  <sortState xmlns:xlrd2="http://schemas.microsoft.com/office/spreadsheetml/2017/richdata2" ref="A2:E501">
    <sortCondition ref="A2:A501"/>
    <sortCondition ref="B2:B501"/>
  </sortState>
  <tableColumns count="8">
    <tableColumn id="1" xr3:uid="{42309E91-4008-42F3-B52C-61A76E185CF3}" name="Customer ID" dataDxfId="9"/>
    <tableColumn id="2" xr3:uid="{8FC6D742-2685-4CEB-9471-770323BB3DD0}" name="Transaction Date" dataDxfId="8"/>
    <tableColumn id="3" xr3:uid="{C81E29FE-4C1E-4849-9F98-6357219C439B}" name="Transaction Amount" dataDxfId="7"/>
    <tableColumn id="4" xr3:uid="{C0FC5341-D130-4262-B70C-065515F2C104}" name="Category" dataDxfId="6"/>
    <tableColumn id="5" xr3:uid="{A0E7B389-DCF4-4EA6-959E-03D353A2DF45}" name="Region" dataDxfId="5"/>
    <tableColumn id="6" xr3:uid="{5FDD3C9C-0C6C-49C7-90ED-C0EF24753B6D}" name="Prior_Purchases" dataDxfId="2">
      <calculatedColumnFormula>COUNTIF($A$2:A2,A2)-1</calculatedColumnFormula>
    </tableColumn>
    <tableColumn id="7" xr3:uid="{35284331-A7A0-4156-ABAC-0E2744559BBD}" name="Engagement_Tier" dataDxfId="1">
      <calculatedColumnFormula>IF(F2=0,"New",IF(F2&lt;=4,"Active","Power User"))</calculatedColumnFormula>
    </tableColumn>
    <tableColumn id="8" xr3:uid="{2E497A29-2DDA-4FCA-93F1-6EA8D532CF76}" name="Monthly Column" dataDxfId="0">
      <calculatedColumnFormula>TEXT(B2,"mmm 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EA64-3292-4BCD-AAA0-E94406446B33}">
  <dimension ref="A3:B7"/>
  <sheetViews>
    <sheetView workbookViewId="0">
      <selection activeCell="A5" sqref="A5"/>
    </sheetView>
  </sheetViews>
  <sheetFormatPr defaultRowHeight="12.5" x14ac:dyDescent="0.25"/>
  <cols>
    <col min="1" max="1" width="13" bestFit="1" customWidth="1"/>
    <col min="2" max="2" width="25.26953125" bestFit="1" customWidth="1"/>
  </cols>
  <sheetData>
    <row r="3" spans="1:2" x14ac:dyDescent="0.25">
      <c r="A3" s="4" t="s">
        <v>164</v>
      </c>
      <c r="B3" t="s">
        <v>169</v>
      </c>
    </row>
    <row r="4" spans="1:2" x14ac:dyDescent="0.25">
      <c r="A4" s="5" t="s">
        <v>165</v>
      </c>
      <c r="B4" s="6">
        <v>161816.89000000001</v>
      </c>
    </row>
    <row r="5" spans="1:2" x14ac:dyDescent="0.25">
      <c r="A5" s="5" t="s">
        <v>166</v>
      </c>
      <c r="B5" s="6">
        <v>70954.359999999957</v>
      </c>
    </row>
    <row r="6" spans="1:2" x14ac:dyDescent="0.25">
      <c r="A6" s="5" t="s">
        <v>167</v>
      </c>
      <c r="B6" s="6">
        <v>19016.86</v>
      </c>
    </row>
    <row r="7" spans="1:2" x14ac:dyDescent="0.25">
      <c r="A7" s="5" t="s">
        <v>168</v>
      </c>
      <c r="B7" s="6">
        <v>251788.11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A77F-D939-48A8-A19D-4BB1E341C4DE}">
  <dimension ref="A3:F41"/>
  <sheetViews>
    <sheetView topLeftCell="C2" workbookViewId="0">
      <selection activeCell="K6" sqref="K6"/>
    </sheetView>
  </sheetViews>
  <sheetFormatPr defaultRowHeight="12.5" x14ac:dyDescent="0.25"/>
  <cols>
    <col min="1" max="1" width="25.26953125" bestFit="1" customWidth="1"/>
    <col min="2" max="2" width="15.90625" bestFit="1" customWidth="1"/>
    <col min="3" max="5" width="8.81640625" bestFit="1" customWidth="1"/>
    <col min="6" max="6" width="11.08984375" bestFit="1" customWidth="1"/>
  </cols>
  <sheetData>
    <row r="3" spans="1:6" x14ac:dyDescent="0.25">
      <c r="A3" s="4" t="s">
        <v>169</v>
      </c>
      <c r="B3" s="4" t="s">
        <v>206</v>
      </c>
    </row>
    <row r="4" spans="1:6" x14ac:dyDescent="0.25">
      <c r="A4" s="4" t="s">
        <v>164</v>
      </c>
      <c r="B4" t="s">
        <v>7</v>
      </c>
      <c r="C4" t="s">
        <v>13</v>
      </c>
      <c r="D4" t="s">
        <v>10</v>
      </c>
      <c r="E4" t="s">
        <v>16</v>
      </c>
      <c r="F4" t="s">
        <v>168</v>
      </c>
    </row>
    <row r="5" spans="1:6" x14ac:dyDescent="0.25">
      <c r="A5" s="5" t="s">
        <v>170</v>
      </c>
      <c r="B5" s="6">
        <v>1147.75</v>
      </c>
      <c r="C5" s="6"/>
      <c r="D5" s="6">
        <v>1567.6299999999999</v>
      </c>
      <c r="E5" s="6">
        <v>2163.75</v>
      </c>
      <c r="F5" s="6">
        <v>4879.13</v>
      </c>
    </row>
    <row r="6" spans="1:6" x14ac:dyDescent="0.25">
      <c r="A6" s="5" t="s">
        <v>171</v>
      </c>
      <c r="B6" s="6">
        <v>3461.67</v>
      </c>
      <c r="C6" s="6">
        <v>2440.79</v>
      </c>
      <c r="D6" s="6">
        <v>249.43</v>
      </c>
      <c r="E6" s="6">
        <v>2097.58</v>
      </c>
      <c r="F6" s="6">
        <v>8249.4700000000012</v>
      </c>
    </row>
    <row r="7" spans="1:6" x14ac:dyDescent="0.25">
      <c r="A7" s="5" t="s">
        <v>172</v>
      </c>
      <c r="B7" s="6">
        <v>1981.08</v>
      </c>
      <c r="C7" s="6">
        <v>2151.2800000000002</v>
      </c>
      <c r="D7" s="6">
        <v>1414.15</v>
      </c>
      <c r="E7" s="6">
        <v>2975.49</v>
      </c>
      <c r="F7" s="6">
        <v>8522</v>
      </c>
    </row>
    <row r="8" spans="1:6" x14ac:dyDescent="0.25">
      <c r="A8" s="5" t="s">
        <v>173</v>
      </c>
      <c r="B8" s="6">
        <v>1278.78</v>
      </c>
      <c r="C8" s="6">
        <v>2109.9</v>
      </c>
      <c r="D8" s="6">
        <v>1762.11</v>
      </c>
      <c r="E8" s="6">
        <v>1414.44</v>
      </c>
      <c r="F8" s="6">
        <v>6565.23</v>
      </c>
    </row>
    <row r="9" spans="1:6" x14ac:dyDescent="0.25">
      <c r="A9" s="5" t="s">
        <v>174</v>
      </c>
      <c r="B9" s="6">
        <v>3316.12</v>
      </c>
      <c r="C9" s="6">
        <v>1905.96</v>
      </c>
      <c r="D9" s="6">
        <v>3736.7400000000002</v>
      </c>
      <c r="E9" s="6">
        <v>723.04</v>
      </c>
      <c r="F9" s="6">
        <v>9681.86</v>
      </c>
    </row>
    <row r="10" spans="1:6" x14ac:dyDescent="0.25">
      <c r="A10" s="5" t="s">
        <v>175</v>
      </c>
      <c r="B10" s="6">
        <v>1049.8</v>
      </c>
      <c r="C10" s="6">
        <v>2175.1099999999997</v>
      </c>
      <c r="D10" s="6">
        <v>3343.5299999999997</v>
      </c>
      <c r="E10" s="6">
        <v>5108.3700000000008</v>
      </c>
      <c r="F10" s="6">
        <v>11676.810000000001</v>
      </c>
    </row>
    <row r="11" spans="1:6" x14ac:dyDescent="0.25">
      <c r="A11" s="5" t="s">
        <v>176</v>
      </c>
      <c r="B11" s="6">
        <v>613.47</v>
      </c>
      <c r="C11" s="6">
        <v>415.35</v>
      </c>
      <c r="D11" s="6">
        <v>1639.18</v>
      </c>
      <c r="E11" s="6">
        <v>2226.87</v>
      </c>
      <c r="F11" s="6">
        <v>4894.87</v>
      </c>
    </row>
    <row r="12" spans="1:6" x14ac:dyDescent="0.25">
      <c r="A12" s="5" t="s">
        <v>177</v>
      </c>
      <c r="B12" s="6">
        <v>181.56</v>
      </c>
      <c r="C12" s="6">
        <v>811.47</v>
      </c>
      <c r="D12" s="6">
        <v>1416.46</v>
      </c>
      <c r="E12" s="6">
        <v>2080.9499999999998</v>
      </c>
      <c r="F12" s="6">
        <v>4490.4399999999996</v>
      </c>
    </row>
    <row r="13" spans="1:6" x14ac:dyDescent="0.25">
      <c r="A13" s="5" t="s">
        <v>178</v>
      </c>
      <c r="B13" s="6">
        <v>1352.46</v>
      </c>
      <c r="C13" s="6">
        <v>2605.4300000000003</v>
      </c>
      <c r="D13" s="6">
        <v>2914.92</v>
      </c>
      <c r="E13" s="6"/>
      <c r="F13" s="6">
        <v>6872.81</v>
      </c>
    </row>
    <row r="14" spans="1:6" x14ac:dyDescent="0.25">
      <c r="A14" s="5" t="s">
        <v>179</v>
      </c>
      <c r="B14" s="6">
        <v>1145.24</v>
      </c>
      <c r="C14" s="6">
        <v>1047.1499999999999</v>
      </c>
      <c r="D14" s="6">
        <v>1584.0199999999998</v>
      </c>
      <c r="E14" s="6">
        <v>970.21</v>
      </c>
      <c r="F14" s="6">
        <v>4746.62</v>
      </c>
    </row>
    <row r="15" spans="1:6" x14ac:dyDescent="0.25">
      <c r="A15" s="5" t="s">
        <v>180</v>
      </c>
      <c r="B15" s="6">
        <v>736.58</v>
      </c>
      <c r="C15" s="6">
        <v>540.41999999999996</v>
      </c>
      <c r="D15" s="6"/>
      <c r="E15" s="6">
        <v>1409.54</v>
      </c>
      <c r="F15" s="6">
        <v>2686.54</v>
      </c>
    </row>
    <row r="16" spans="1:6" x14ac:dyDescent="0.25">
      <c r="A16" s="5" t="s">
        <v>181</v>
      </c>
      <c r="B16" s="6">
        <v>2531.83</v>
      </c>
      <c r="C16" s="6">
        <v>561.70000000000005</v>
      </c>
      <c r="D16" s="6">
        <v>1452.51</v>
      </c>
      <c r="E16" s="6">
        <v>982.42000000000007</v>
      </c>
      <c r="F16" s="6">
        <v>5528.46</v>
      </c>
    </row>
    <row r="17" spans="1:6" x14ac:dyDescent="0.25">
      <c r="A17" s="5" t="s">
        <v>182</v>
      </c>
      <c r="B17" s="6">
        <v>1510.6399999999999</v>
      </c>
      <c r="C17" s="6">
        <v>899.09999999999991</v>
      </c>
      <c r="D17" s="6">
        <v>2267.3000000000002</v>
      </c>
      <c r="E17" s="6">
        <v>602.66999999999996</v>
      </c>
      <c r="F17" s="6">
        <v>5279.71</v>
      </c>
    </row>
    <row r="18" spans="1:6" x14ac:dyDescent="0.25">
      <c r="A18" s="5" t="s">
        <v>183</v>
      </c>
      <c r="B18" s="6">
        <v>2262.42</v>
      </c>
      <c r="C18" s="6">
        <v>1958.6999999999998</v>
      </c>
      <c r="D18" s="6">
        <v>1049.8600000000001</v>
      </c>
      <c r="E18" s="6">
        <v>1480.35</v>
      </c>
      <c r="F18" s="6">
        <v>6751.33</v>
      </c>
    </row>
    <row r="19" spans="1:6" x14ac:dyDescent="0.25">
      <c r="A19" s="5" t="s">
        <v>184</v>
      </c>
      <c r="B19" s="6">
        <v>870.85</v>
      </c>
      <c r="C19" s="6"/>
      <c r="D19" s="6">
        <v>984.20999999999992</v>
      </c>
      <c r="E19" s="6">
        <v>1982.97</v>
      </c>
      <c r="F19" s="6">
        <v>3838.0299999999997</v>
      </c>
    </row>
    <row r="20" spans="1:6" x14ac:dyDescent="0.25">
      <c r="A20" s="5" t="s">
        <v>185</v>
      </c>
      <c r="B20" s="6">
        <v>990.72</v>
      </c>
      <c r="C20" s="6">
        <v>1476.03</v>
      </c>
      <c r="D20" s="6">
        <v>2555.19</v>
      </c>
      <c r="E20" s="6">
        <v>1050.1799999999998</v>
      </c>
      <c r="F20" s="6">
        <v>6072.1200000000008</v>
      </c>
    </row>
    <row r="21" spans="1:6" x14ac:dyDescent="0.25">
      <c r="A21" s="5" t="s">
        <v>186</v>
      </c>
      <c r="B21" s="6">
        <v>4140.8900000000003</v>
      </c>
      <c r="C21" s="6">
        <v>3379.2200000000003</v>
      </c>
      <c r="D21" s="6">
        <v>1338.4199999999998</v>
      </c>
      <c r="E21" s="6">
        <v>2751.23</v>
      </c>
      <c r="F21" s="6">
        <v>11609.76</v>
      </c>
    </row>
    <row r="22" spans="1:6" x14ac:dyDescent="0.25">
      <c r="A22" s="5" t="s">
        <v>187</v>
      </c>
      <c r="B22" s="6">
        <v>5183.49</v>
      </c>
      <c r="C22" s="6">
        <v>855.14</v>
      </c>
      <c r="D22" s="6">
        <v>1957.8000000000002</v>
      </c>
      <c r="E22" s="6">
        <v>1969.81</v>
      </c>
      <c r="F22" s="6">
        <v>9966.24</v>
      </c>
    </row>
    <row r="23" spans="1:6" x14ac:dyDescent="0.25">
      <c r="A23" s="5" t="s">
        <v>188</v>
      </c>
      <c r="B23" s="6">
        <v>1376.57</v>
      </c>
      <c r="C23" s="6">
        <v>1881.08</v>
      </c>
      <c r="D23" s="6">
        <v>1168.73</v>
      </c>
      <c r="E23" s="6">
        <v>2705.5199999999995</v>
      </c>
      <c r="F23" s="6">
        <v>7131.8999999999987</v>
      </c>
    </row>
    <row r="24" spans="1:6" x14ac:dyDescent="0.25">
      <c r="A24" s="5" t="s">
        <v>189</v>
      </c>
      <c r="B24" s="6">
        <v>1469.97</v>
      </c>
      <c r="C24" s="6">
        <v>1877.97</v>
      </c>
      <c r="D24" s="6">
        <v>1522.45</v>
      </c>
      <c r="E24" s="6">
        <v>2214.79</v>
      </c>
      <c r="F24" s="6">
        <v>7085.18</v>
      </c>
    </row>
    <row r="25" spans="1:6" x14ac:dyDescent="0.25">
      <c r="A25" s="5" t="s">
        <v>190</v>
      </c>
      <c r="B25" s="6">
        <v>4311.24</v>
      </c>
      <c r="C25" s="6">
        <v>3624.73</v>
      </c>
      <c r="D25" s="6">
        <v>2215.5100000000002</v>
      </c>
      <c r="E25" s="6">
        <v>2021.37</v>
      </c>
      <c r="F25" s="6">
        <v>12172.849999999999</v>
      </c>
    </row>
    <row r="26" spans="1:6" x14ac:dyDescent="0.25">
      <c r="A26" s="5" t="s">
        <v>191</v>
      </c>
      <c r="B26" s="6">
        <v>1560.87</v>
      </c>
      <c r="C26" s="6">
        <v>596.49</v>
      </c>
      <c r="D26" s="6">
        <v>2008.03</v>
      </c>
      <c r="E26" s="6">
        <v>1914.68</v>
      </c>
      <c r="F26" s="6">
        <v>6080.07</v>
      </c>
    </row>
    <row r="27" spans="1:6" x14ac:dyDescent="0.25">
      <c r="A27" s="5" t="s">
        <v>192</v>
      </c>
      <c r="B27" s="6">
        <v>1477.93</v>
      </c>
      <c r="C27" s="6">
        <v>575.49</v>
      </c>
      <c r="D27" s="6">
        <v>826.93999999999994</v>
      </c>
      <c r="E27" s="6">
        <v>2174.7799999999997</v>
      </c>
      <c r="F27" s="6">
        <v>5055.1399999999994</v>
      </c>
    </row>
    <row r="28" spans="1:6" x14ac:dyDescent="0.25">
      <c r="A28" s="5" t="s">
        <v>193</v>
      </c>
      <c r="B28" s="6">
        <v>2158.77</v>
      </c>
      <c r="C28" s="6">
        <v>619.69000000000005</v>
      </c>
      <c r="D28" s="6">
        <v>1309.01</v>
      </c>
      <c r="E28" s="6">
        <v>435.72</v>
      </c>
      <c r="F28" s="6">
        <v>4523.1900000000005</v>
      </c>
    </row>
    <row r="29" spans="1:6" x14ac:dyDescent="0.25">
      <c r="A29" s="5" t="s">
        <v>194</v>
      </c>
      <c r="B29" s="6">
        <v>2055.77</v>
      </c>
      <c r="C29" s="6">
        <v>2565.2999999999997</v>
      </c>
      <c r="D29" s="6">
        <v>1394.7</v>
      </c>
      <c r="E29" s="6">
        <v>777.38</v>
      </c>
      <c r="F29" s="6">
        <v>6793.15</v>
      </c>
    </row>
    <row r="30" spans="1:6" x14ac:dyDescent="0.25">
      <c r="A30" s="5" t="s">
        <v>195</v>
      </c>
      <c r="B30" s="6">
        <v>2341.6400000000003</v>
      </c>
      <c r="C30" s="6">
        <v>3297.79</v>
      </c>
      <c r="D30" s="6">
        <v>1350.3700000000001</v>
      </c>
      <c r="E30" s="6">
        <v>3158.2</v>
      </c>
      <c r="F30" s="6">
        <v>10148</v>
      </c>
    </row>
    <row r="31" spans="1:6" x14ac:dyDescent="0.25">
      <c r="A31" s="5" t="s">
        <v>196</v>
      </c>
      <c r="B31" s="6">
        <v>1079.8400000000001</v>
      </c>
      <c r="C31" s="6">
        <v>2345.13</v>
      </c>
      <c r="D31" s="6">
        <v>1584.15</v>
      </c>
      <c r="E31" s="6">
        <v>1275.52</v>
      </c>
      <c r="F31" s="6">
        <v>6284.6400000000012</v>
      </c>
    </row>
    <row r="32" spans="1:6" x14ac:dyDescent="0.25">
      <c r="A32" s="5" t="s">
        <v>197</v>
      </c>
      <c r="B32" s="6">
        <v>3266.62</v>
      </c>
      <c r="C32" s="6">
        <v>1955.35</v>
      </c>
      <c r="D32" s="6">
        <v>1173.3699999999999</v>
      </c>
      <c r="E32" s="6">
        <v>1457.61</v>
      </c>
      <c r="F32" s="6">
        <v>7852.9499999999989</v>
      </c>
    </row>
    <row r="33" spans="1:6" x14ac:dyDescent="0.25">
      <c r="A33" s="5" t="s">
        <v>198</v>
      </c>
      <c r="B33" s="6">
        <v>2096.7399999999998</v>
      </c>
      <c r="C33" s="6">
        <v>3938.3599999999997</v>
      </c>
      <c r="D33" s="6">
        <v>2261.21</v>
      </c>
      <c r="E33" s="6">
        <v>365.79</v>
      </c>
      <c r="F33" s="6">
        <v>8662.1</v>
      </c>
    </row>
    <row r="34" spans="1:6" x14ac:dyDescent="0.25">
      <c r="A34" s="5" t="s">
        <v>199</v>
      </c>
      <c r="B34" s="6">
        <v>2760.0899999999997</v>
      </c>
      <c r="C34" s="6">
        <v>1093.0999999999999</v>
      </c>
      <c r="D34" s="6">
        <v>288.14999999999998</v>
      </c>
      <c r="E34" s="6">
        <v>643.46</v>
      </c>
      <c r="F34" s="6">
        <v>4784.7999999999993</v>
      </c>
    </row>
    <row r="35" spans="1:6" x14ac:dyDescent="0.25">
      <c r="A35" s="5" t="s">
        <v>200</v>
      </c>
      <c r="B35" s="6">
        <v>1703.67</v>
      </c>
      <c r="C35" s="6">
        <v>2478.42</v>
      </c>
      <c r="D35" s="6">
        <v>1442.71</v>
      </c>
      <c r="E35" s="6">
        <v>872.75</v>
      </c>
      <c r="F35" s="6">
        <v>6497.55</v>
      </c>
    </row>
    <row r="36" spans="1:6" x14ac:dyDescent="0.25">
      <c r="A36" s="5" t="s">
        <v>201</v>
      </c>
      <c r="B36" s="6">
        <v>1320.04</v>
      </c>
      <c r="C36" s="6">
        <v>1309.24</v>
      </c>
      <c r="D36" s="6">
        <v>2331.37</v>
      </c>
      <c r="E36" s="6"/>
      <c r="F36" s="6">
        <v>4960.6499999999996</v>
      </c>
    </row>
    <row r="37" spans="1:6" x14ac:dyDescent="0.25">
      <c r="A37" s="5" t="s">
        <v>202</v>
      </c>
      <c r="B37" s="6">
        <v>4111.0200000000004</v>
      </c>
      <c r="C37" s="6">
        <v>532.41999999999996</v>
      </c>
      <c r="D37" s="6">
        <v>1839.52</v>
      </c>
      <c r="E37" s="6">
        <v>1329.49</v>
      </c>
      <c r="F37" s="6">
        <v>7812.4500000000007</v>
      </c>
    </row>
    <row r="38" spans="1:6" x14ac:dyDescent="0.25">
      <c r="A38" s="5" t="s">
        <v>203</v>
      </c>
      <c r="B38" s="6">
        <v>296.85000000000002</v>
      </c>
      <c r="C38" s="6">
        <v>1964.3999999999999</v>
      </c>
      <c r="D38" s="6">
        <v>962.77</v>
      </c>
      <c r="E38" s="6">
        <v>1420.58</v>
      </c>
      <c r="F38" s="6">
        <v>4644.6000000000004</v>
      </c>
    </row>
    <row r="39" spans="1:6" x14ac:dyDescent="0.25">
      <c r="A39" s="5" t="s">
        <v>204</v>
      </c>
      <c r="B39" s="6">
        <v>2267.62</v>
      </c>
      <c r="C39" s="6">
        <v>1328.24</v>
      </c>
      <c r="D39" s="6">
        <v>3262.2900000000004</v>
      </c>
      <c r="E39" s="6">
        <v>3834.72</v>
      </c>
      <c r="F39" s="6">
        <v>10692.869999999999</v>
      </c>
    </row>
    <row r="40" spans="1:6" x14ac:dyDescent="0.25">
      <c r="A40" s="5" t="s">
        <v>205</v>
      </c>
      <c r="B40" s="6">
        <v>3583.74</v>
      </c>
      <c r="C40" s="6">
        <v>755.84</v>
      </c>
      <c r="D40" s="6">
        <v>2336.88</v>
      </c>
      <c r="E40" s="6">
        <v>1618.13</v>
      </c>
      <c r="F40" s="6">
        <v>8294.59</v>
      </c>
    </row>
    <row r="41" spans="1:6" x14ac:dyDescent="0.25">
      <c r="A41" s="5" t="s">
        <v>168</v>
      </c>
      <c r="B41" s="6">
        <v>72994.339999999982</v>
      </c>
      <c r="C41" s="6">
        <v>58071.789999999994</v>
      </c>
      <c r="D41" s="6">
        <v>60511.619999999995</v>
      </c>
      <c r="E41" s="6">
        <v>60210.359999999993</v>
      </c>
      <c r="F41" s="6">
        <v>251788.11000000002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1514-8DF2-410B-AAA0-0C6227DC0634}">
  <dimension ref="A1"/>
  <sheetViews>
    <sheetView showGridLines="0" tabSelected="1" zoomScale="75" zoomScaleNormal="75" workbookViewId="0">
      <selection activeCell="U12" sqref="U12"/>
    </sheetView>
  </sheetViews>
  <sheetFormatPr defaultRowHeight="12.5" x14ac:dyDescent="0.25"/>
  <cols>
    <col min="1" max="16384" width="8.7265625" style="7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0706-DA33-40D8-9415-BF9CAC6AE9A0}">
  <dimension ref="A2:B10"/>
  <sheetViews>
    <sheetView workbookViewId="0">
      <selection activeCell="J6" sqref="J6"/>
    </sheetView>
  </sheetViews>
  <sheetFormatPr defaultRowHeight="12.5" x14ac:dyDescent="0.25"/>
  <cols>
    <col min="1" max="1" width="13.54296875" bestFit="1" customWidth="1"/>
    <col min="2" max="2" width="25.26953125" bestFit="1" customWidth="1"/>
  </cols>
  <sheetData>
    <row r="2" spans="1:2" x14ac:dyDescent="0.25">
      <c r="A2" s="4" t="s">
        <v>163</v>
      </c>
      <c r="B2" t="s">
        <v>207</v>
      </c>
    </row>
    <row r="4" spans="1:2" x14ac:dyDescent="0.25">
      <c r="A4" s="4" t="s">
        <v>164</v>
      </c>
      <c r="B4" t="s">
        <v>169</v>
      </c>
    </row>
    <row r="5" spans="1:2" x14ac:dyDescent="0.25">
      <c r="A5" s="5" t="s">
        <v>9</v>
      </c>
      <c r="B5" s="6">
        <v>21860.21000000001</v>
      </c>
    </row>
    <row r="6" spans="1:2" x14ac:dyDescent="0.25">
      <c r="A6" s="5" t="s">
        <v>6</v>
      </c>
      <c r="B6" s="6">
        <v>11667.599999999999</v>
      </c>
    </row>
    <row r="7" spans="1:2" x14ac:dyDescent="0.25">
      <c r="A7" s="5" t="s">
        <v>21</v>
      </c>
      <c r="B7" s="6">
        <v>17535.34</v>
      </c>
    </row>
    <row r="8" spans="1:2" x14ac:dyDescent="0.25">
      <c r="A8" s="5" t="s">
        <v>12</v>
      </c>
      <c r="B8" s="6">
        <v>20919.370000000003</v>
      </c>
    </row>
    <row r="9" spans="1:2" x14ac:dyDescent="0.25">
      <c r="A9" s="5" t="s">
        <v>15</v>
      </c>
      <c r="B9" s="6">
        <v>18294.350000000006</v>
      </c>
    </row>
    <row r="10" spans="1:2" x14ac:dyDescent="0.25">
      <c r="A10" s="5" t="s">
        <v>168</v>
      </c>
      <c r="B10" s="6">
        <v>90276.870000000024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2" workbookViewId="0">
      <selection activeCell="A2" sqref="A1:XFD1048576"/>
    </sheetView>
  </sheetViews>
  <sheetFormatPr defaultColWidth="12.6328125" defaultRowHeight="15.75" customHeight="1" x14ac:dyDescent="0.25"/>
  <cols>
    <col min="1" max="1" width="13.453125" customWidth="1"/>
    <col min="2" max="2" width="17.54296875" customWidth="1"/>
    <col min="3" max="3" width="20.26953125" customWidth="1"/>
    <col min="4" max="4" width="10.6328125" customWidth="1"/>
    <col min="5" max="5" width="8.81640625" customWidth="1"/>
    <col min="6" max="6" width="17.453125" bestFit="1" customWidth="1"/>
    <col min="7" max="7" width="18.26953125" bestFit="1" customWidth="1"/>
    <col min="8" max="8" width="17.1796875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161</v>
      </c>
      <c r="G1" s="3" t="s">
        <v>162</v>
      </c>
      <c r="H1" s="3" t="s">
        <v>163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 t="s">
        <v>97</v>
      </c>
      <c r="B2" s="2">
        <v>44877</v>
      </c>
      <c r="C2" s="1">
        <v>423.24</v>
      </c>
      <c r="D2" s="1" t="s">
        <v>6</v>
      </c>
      <c r="E2" s="1" t="s">
        <v>7</v>
      </c>
      <c r="F2" s="3">
        <f>COUNTIF($A$2:A2,A2)-1</f>
        <v>0</v>
      </c>
      <c r="G2" s="3" t="str">
        <f t="shared" ref="G2:G65" si="0">IF(F2=0,"New",IF(F2&lt;=4,"Active","Power User"))</f>
        <v>New</v>
      </c>
      <c r="H2" s="3" t="str">
        <f t="shared" ref="H2:H65" si="1">TEXT(B2,"mmm yyyy")</f>
        <v>Nov 2022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 t="s">
        <v>97</v>
      </c>
      <c r="B3" s="2">
        <v>44917</v>
      </c>
      <c r="C3" s="1">
        <v>291.99</v>
      </c>
      <c r="D3" s="1" t="s">
        <v>6</v>
      </c>
      <c r="E3" s="1" t="s">
        <v>16</v>
      </c>
      <c r="F3" s="3">
        <f>COUNTIF($A$2:A3,A3)-1</f>
        <v>1</v>
      </c>
      <c r="G3" s="3" t="str">
        <f t="shared" si="0"/>
        <v>Active</v>
      </c>
      <c r="H3" s="3" t="str">
        <f t="shared" si="1"/>
        <v>Dec 2022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 t="s">
        <v>97</v>
      </c>
      <c r="B4" s="2">
        <v>45141</v>
      </c>
      <c r="C4" s="1">
        <v>301.5</v>
      </c>
      <c r="D4" s="1" t="s">
        <v>15</v>
      </c>
      <c r="E4" s="1" t="s">
        <v>10</v>
      </c>
      <c r="F4" s="3">
        <f>COUNTIF($A$2:A4,A4)-1</f>
        <v>2</v>
      </c>
      <c r="G4" s="3" t="str">
        <f t="shared" si="0"/>
        <v>Active</v>
      </c>
      <c r="H4" s="3" t="str">
        <f t="shared" si="1"/>
        <v>Aug 2023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 t="s">
        <v>97</v>
      </c>
      <c r="B5" s="2">
        <v>45360</v>
      </c>
      <c r="C5" s="1">
        <v>380.87</v>
      </c>
      <c r="D5" s="1" t="s">
        <v>6</v>
      </c>
      <c r="E5" s="1" t="s">
        <v>16</v>
      </c>
      <c r="F5" s="3">
        <f>COUNTIF($A$2:A5,A5)-1</f>
        <v>3</v>
      </c>
      <c r="G5" s="3" t="str">
        <f t="shared" si="0"/>
        <v>Active</v>
      </c>
      <c r="H5" s="3" t="str">
        <f t="shared" si="1"/>
        <v>Mar 2024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 t="s">
        <v>97</v>
      </c>
      <c r="B6" s="2">
        <v>45521</v>
      </c>
      <c r="C6" s="1">
        <v>703.96</v>
      </c>
      <c r="D6" s="1" t="s">
        <v>15</v>
      </c>
      <c r="E6" s="1" t="s">
        <v>13</v>
      </c>
      <c r="F6" s="3">
        <f>COUNTIF($A$2:A6,A6)-1</f>
        <v>4</v>
      </c>
      <c r="G6" s="3" t="str">
        <f t="shared" si="0"/>
        <v>Active</v>
      </c>
      <c r="H6" s="3" t="str">
        <f t="shared" si="1"/>
        <v>Aug 2024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 t="s">
        <v>97</v>
      </c>
      <c r="B7" s="2">
        <v>45562</v>
      </c>
      <c r="C7" s="1">
        <v>748.58</v>
      </c>
      <c r="D7" s="1" t="s">
        <v>6</v>
      </c>
      <c r="E7" s="1" t="s">
        <v>7</v>
      </c>
      <c r="F7" s="3">
        <f>COUNTIF($A$2:A7,A7)-1</f>
        <v>5</v>
      </c>
      <c r="G7" s="3" t="str">
        <f t="shared" si="0"/>
        <v>Power User</v>
      </c>
      <c r="H7" s="3" t="str">
        <f t="shared" si="1"/>
        <v>Sept 2024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 t="s">
        <v>36</v>
      </c>
      <c r="B8" s="2">
        <v>44621</v>
      </c>
      <c r="C8" s="1">
        <v>461.51</v>
      </c>
      <c r="D8" s="1" t="s">
        <v>21</v>
      </c>
      <c r="E8" s="1" t="s">
        <v>10</v>
      </c>
      <c r="F8" s="3">
        <f>COUNTIF($A$2:A8,A8)-1</f>
        <v>0</v>
      </c>
      <c r="G8" s="3" t="str">
        <f t="shared" si="0"/>
        <v>New</v>
      </c>
      <c r="H8" s="3" t="str">
        <f t="shared" si="1"/>
        <v>Mar 2022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 t="s">
        <v>36</v>
      </c>
      <c r="B9" s="2">
        <v>45030</v>
      </c>
      <c r="C9" s="1">
        <v>819.05</v>
      </c>
      <c r="D9" s="1" t="s">
        <v>9</v>
      </c>
      <c r="E9" s="1" t="s">
        <v>7</v>
      </c>
      <c r="F9" s="3">
        <f>COUNTIF($A$2:A9,A9)-1</f>
        <v>1</v>
      </c>
      <c r="G9" s="3" t="str">
        <f t="shared" si="0"/>
        <v>Active</v>
      </c>
      <c r="H9" s="3" t="str">
        <f t="shared" si="1"/>
        <v>Apr 2023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 t="s">
        <v>94</v>
      </c>
      <c r="B10" s="2">
        <v>44860</v>
      </c>
      <c r="C10" s="1">
        <v>809.37</v>
      </c>
      <c r="D10" s="1" t="s">
        <v>6</v>
      </c>
      <c r="E10" s="1" t="s">
        <v>13</v>
      </c>
      <c r="F10" s="3">
        <f>COUNTIF($A$2:A10,A10)-1</f>
        <v>0</v>
      </c>
      <c r="G10" s="3" t="str">
        <f t="shared" si="0"/>
        <v>New</v>
      </c>
      <c r="H10" s="3" t="str">
        <f t="shared" si="1"/>
        <v>Oct 2022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 t="s">
        <v>94</v>
      </c>
      <c r="B11" s="2">
        <v>45244</v>
      </c>
      <c r="C11" s="1">
        <v>728.83</v>
      </c>
      <c r="D11" s="1" t="s">
        <v>6</v>
      </c>
      <c r="E11" s="1" t="s">
        <v>13</v>
      </c>
      <c r="F11" s="3">
        <f>COUNTIF($A$2:A11,A11)-1</f>
        <v>1</v>
      </c>
      <c r="G11" s="3" t="str">
        <f t="shared" si="0"/>
        <v>Active</v>
      </c>
      <c r="H11" s="3" t="str">
        <f t="shared" si="1"/>
        <v>Nov 2023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 t="s">
        <v>94</v>
      </c>
      <c r="B12" s="2">
        <v>45301</v>
      </c>
      <c r="C12" s="1">
        <v>955.32</v>
      </c>
      <c r="D12" s="1" t="s">
        <v>9</v>
      </c>
      <c r="E12" s="1" t="s">
        <v>16</v>
      </c>
      <c r="F12" s="3">
        <f>COUNTIF($A$2:A12,A12)-1</f>
        <v>2</v>
      </c>
      <c r="G12" s="3" t="str">
        <f t="shared" si="0"/>
        <v>Active</v>
      </c>
      <c r="H12" s="3" t="str">
        <f t="shared" si="1"/>
        <v>Jan 2024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 t="s">
        <v>94</v>
      </c>
      <c r="B13" s="2">
        <v>45390</v>
      </c>
      <c r="C13" s="1">
        <v>589.91999999999996</v>
      </c>
      <c r="D13" s="1" t="s">
        <v>9</v>
      </c>
      <c r="E13" s="1" t="s">
        <v>16</v>
      </c>
      <c r="F13" s="3">
        <f>COUNTIF($A$2:A13,A13)-1</f>
        <v>3</v>
      </c>
      <c r="G13" s="3" t="str">
        <f t="shared" si="0"/>
        <v>Active</v>
      </c>
      <c r="H13" s="3" t="str">
        <f t="shared" si="1"/>
        <v>Apr 2024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 t="s">
        <v>137</v>
      </c>
      <c r="B14" s="2">
        <v>45121</v>
      </c>
      <c r="C14" s="1">
        <v>649.02</v>
      </c>
      <c r="D14" s="1" t="s">
        <v>12</v>
      </c>
      <c r="E14" s="1" t="s">
        <v>13</v>
      </c>
      <c r="F14" s="3">
        <f>COUNTIF($A$2:A14,A14)-1</f>
        <v>0</v>
      </c>
      <c r="G14" s="3" t="str">
        <f t="shared" si="0"/>
        <v>New</v>
      </c>
      <c r="H14" s="3" t="str">
        <f t="shared" si="1"/>
        <v>Jul 2023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 t="s">
        <v>106</v>
      </c>
      <c r="B15" s="2">
        <v>44922</v>
      </c>
      <c r="C15" s="1">
        <v>507.65</v>
      </c>
      <c r="D15" s="1" t="s">
        <v>15</v>
      </c>
      <c r="E15" s="1" t="s">
        <v>10</v>
      </c>
      <c r="F15" s="3">
        <f>COUNTIF($A$2:A15,A15)-1</f>
        <v>0</v>
      </c>
      <c r="G15" s="3" t="str">
        <f t="shared" si="0"/>
        <v>New</v>
      </c>
      <c r="H15" s="3" t="str">
        <f t="shared" si="1"/>
        <v>Dec 2022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 t="s">
        <v>121</v>
      </c>
      <c r="B16" s="2">
        <v>45022</v>
      </c>
      <c r="C16" s="1">
        <v>925.45</v>
      </c>
      <c r="D16" s="1" t="s">
        <v>9</v>
      </c>
      <c r="E16" s="1" t="s">
        <v>13</v>
      </c>
      <c r="F16" s="3">
        <f>COUNTIF($A$2:A16,A16)-1</f>
        <v>0</v>
      </c>
      <c r="G16" s="3" t="str">
        <f t="shared" si="0"/>
        <v>New</v>
      </c>
      <c r="H16" s="3" t="str">
        <f t="shared" si="1"/>
        <v>Apr 2023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 t="s">
        <v>8</v>
      </c>
      <c r="B17" s="2">
        <v>44567</v>
      </c>
      <c r="C17" s="1">
        <v>951.21</v>
      </c>
      <c r="D17" s="1" t="s">
        <v>9</v>
      </c>
      <c r="E17" s="1" t="s">
        <v>10</v>
      </c>
      <c r="F17" s="3">
        <f>COUNTIF($A$2:A17,A17)-1</f>
        <v>0</v>
      </c>
      <c r="G17" s="3" t="str">
        <f t="shared" si="0"/>
        <v>New</v>
      </c>
      <c r="H17" s="3" t="str">
        <f t="shared" si="1"/>
        <v>Jan 2022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 t="s">
        <v>8</v>
      </c>
      <c r="B18" s="2">
        <v>44604</v>
      </c>
      <c r="C18" s="1">
        <v>311.2</v>
      </c>
      <c r="D18" s="1" t="s">
        <v>6</v>
      </c>
      <c r="E18" s="1" t="s">
        <v>13</v>
      </c>
      <c r="F18" s="3">
        <f>COUNTIF($A$2:A18,A18)-1</f>
        <v>1</v>
      </c>
      <c r="G18" s="3" t="str">
        <f t="shared" si="0"/>
        <v>Active</v>
      </c>
      <c r="H18" s="3" t="str">
        <f t="shared" si="1"/>
        <v>Feb 2022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 t="s">
        <v>8</v>
      </c>
      <c r="B19" s="2">
        <v>45444</v>
      </c>
      <c r="C19" s="1">
        <v>805.45</v>
      </c>
      <c r="D19" s="1" t="s">
        <v>15</v>
      </c>
      <c r="E19" s="1" t="s">
        <v>7</v>
      </c>
      <c r="F19" s="3">
        <f>COUNTIF($A$2:A19,A19)-1</f>
        <v>2</v>
      </c>
      <c r="G19" s="3" t="str">
        <f t="shared" si="0"/>
        <v>Active</v>
      </c>
      <c r="H19" s="3" t="str">
        <f t="shared" si="1"/>
        <v>Jun 2024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 t="s">
        <v>8</v>
      </c>
      <c r="B20" s="2">
        <v>45468</v>
      </c>
      <c r="C20" s="1">
        <v>828.19</v>
      </c>
      <c r="D20" s="1" t="s">
        <v>6</v>
      </c>
      <c r="E20" s="1" t="s">
        <v>13</v>
      </c>
      <c r="F20" s="3">
        <f>COUNTIF($A$2:A20,A20)-1</f>
        <v>3</v>
      </c>
      <c r="G20" s="3" t="str">
        <f t="shared" si="0"/>
        <v>Active</v>
      </c>
      <c r="H20" s="3" t="str">
        <f t="shared" si="1"/>
        <v>Jun 2024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 t="s">
        <v>8</v>
      </c>
      <c r="B21" s="2">
        <v>45623</v>
      </c>
      <c r="C21" s="1">
        <v>54.99</v>
      </c>
      <c r="D21" s="1" t="s">
        <v>6</v>
      </c>
      <c r="E21" s="1" t="s">
        <v>16</v>
      </c>
      <c r="F21" s="3">
        <f>COUNTIF($A$2:A21,A21)-1</f>
        <v>4</v>
      </c>
      <c r="G21" s="3" t="str">
        <f t="shared" si="0"/>
        <v>Active</v>
      </c>
      <c r="H21" s="3" t="str">
        <f t="shared" si="1"/>
        <v>Nov 2024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 t="s">
        <v>25</v>
      </c>
      <c r="B22" s="2">
        <v>44593</v>
      </c>
      <c r="C22" s="1">
        <v>970.21</v>
      </c>
      <c r="D22" s="1" t="s">
        <v>12</v>
      </c>
      <c r="E22" s="1" t="s">
        <v>16</v>
      </c>
      <c r="F22" s="3">
        <f>COUNTIF($A$2:A22,A22)-1</f>
        <v>0</v>
      </c>
      <c r="G22" s="3" t="str">
        <f t="shared" si="0"/>
        <v>New</v>
      </c>
      <c r="H22" s="3" t="str">
        <f t="shared" si="1"/>
        <v>Feb 2022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25</v>
      </c>
      <c r="B23" s="2">
        <v>45493</v>
      </c>
      <c r="C23" s="1">
        <v>453.96</v>
      </c>
      <c r="D23" s="1" t="s">
        <v>15</v>
      </c>
      <c r="E23" s="1" t="s">
        <v>7</v>
      </c>
      <c r="F23" s="3">
        <f>COUNTIF($A$2:A23,A23)-1</f>
        <v>1</v>
      </c>
      <c r="G23" s="3" t="str">
        <f t="shared" si="0"/>
        <v>Active</v>
      </c>
      <c r="H23" s="3" t="str">
        <f t="shared" si="1"/>
        <v>Jul 2024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 t="s">
        <v>24</v>
      </c>
      <c r="B24" s="2">
        <v>44590</v>
      </c>
      <c r="C24" s="1">
        <v>30.38</v>
      </c>
      <c r="D24" s="1" t="s">
        <v>21</v>
      </c>
      <c r="E24" s="1" t="s">
        <v>7</v>
      </c>
      <c r="F24" s="3">
        <f>COUNTIF($A$2:A24,A24)-1</f>
        <v>0</v>
      </c>
      <c r="G24" s="3" t="str">
        <f t="shared" si="0"/>
        <v>New</v>
      </c>
      <c r="H24" s="3" t="str">
        <f t="shared" si="1"/>
        <v>Jan 2022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24</v>
      </c>
      <c r="B25" s="2">
        <v>44763</v>
      </c>
      <c r="C25" s="1">
        <v>124.71</v>
      </c>
      <c r="D25" s="1" t="s">
        <v>9</v>
      </c>
      <c r="E25" s="1" t="s">
        <v>7</v>
      </c>
      <c r="F25" s="3">
        <f>COUNTIF($A$2:A25,A25)-1</f>
        <v>1</v>
      </c>
      <c r="G25" s="3" t="str">
        <f t="shared" si="0"/>
        <v>Active</v>
      </c>
      <c r="H25" s="3" t="str">
        <f t="shared" si="1"/>
        <v>Jul 2022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 x14ac:dyDescent="0.25">
      <c r="A26" s="1" t="s">
        <v>24</v>
      </c>
      <c r="B26" s="2">
        <v>45040</v>
      </c>
      <c r="C26" s="1">
        <v>898.24</v>
      </c>
      <c r="D26" s="1" t="s">
        <v>12</v>
      </c>
      <c r="E26" s="1" t="s">
        <v>7</v>
      </c>
      <c r="F26" s="3">
        <f>COUNTIF($A$2:A26,A26)-1</f>
        <v>2</v>
      </c>
      <c r="G26" s="3" t="str">
        <f t="shared" si="0"/>
        <v>Active</v>
      </c>
      <c r="H26" s="3" t="str">
        <f t="shared" si="1"/>
        <v>Apr 2023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 x14ac:dyDescent="0.25">
      <c r="A27" s="1" t="s">
        <v>155</v>
      </c>
      <c r="B27" s="2">
        <v>45398</v>
      </c>
      <c r="C27" s="1">
        <v>463.67</v>
      </c>
      <c r="D27" s="1" t="s">
        <v>12</v>
      </c>
      <c r="E27" s="1" t="s">
        <v>16</v>
      </c>
      <c r="F27" s="3">
        <f>COUNTIF($A$2:A27,A27)-1</f>
        <v>0</v>
      </c>
      <c r="G27" s="3" t="str">
        <f t="shared" si="0"/>
        <v>New</v>
      </c>
      <c r="H27" s="3" t="str">
        <f t="shared" si="1"/>
        <v>Apr 2024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 x14ac:dyDescent="0.25">
      <c r="A28" s="1" t="s">
        <v>155</v>
      </c>
      <c r="B28" s="2">
        <v>45459</v>
      </c>
      <c r="C28" s="1">
        <v>347.4</v>
      </c>
      <c r="D28" s="1" t="s">
        <v>6</v>
      </c>
      <c r="E28" s="1" t="s">
        <v>16</v>
      </c>
      <c r="F28" s="3">
        <f>COUNTIF($A$2:A28,A28)-1</f>
        <v>1</v>
      </c>
      <c r="G28" s="3" t="str">
        <f t="shared" si="0"/>
        <v>Active</v>
      </c>
      <c r="H28" s="3" t="str">
        <f t="shared" si="1"/>
        <v>Jun 2024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 x14ac:dyDescent="0.25">
      <c r="A29" s="1" t="s">
        <v>155</v>
      </c>
      <c r="B29" s="2">
        <v>45503</v>
      </c>
      <c r="C29" s="1">
        <v>791.72</v>
      </c>
      <c r="D29" s="1" t="s">
        <v>9</v>
      </c>
      <c r="E29" s="1" t="s">
        <v>7</v>
      </c>
      <c r="F29" s="3">
        <f>COUNTIF($A$2:A29,A29)-1</f>
        <v>2</v>
      </c>
      <c r="G29" s="3" t="str">
        <f t="shared" si="0"/>
        <v>Active</v>
      </c>
      <c r="H29" s="3" t="str">
        <f t="shared" si="1"/>
        <v>Jul 2024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 x14ac:dyDescent="0.25">
      <c r="A30" s="1" t="s">
        <v>144</v>
      </c>
      <c r="B30" s="2">
        <v>45211</v>
      </c>
      <c r="C30" s="1">
        <v>470.94</v>
      </c>
      <c r="D30" s="1" t="s">
        <v>6</v>
      </c>
      <c r="E30" s="1" t="s">
        <v>10</v>
      </c>
      <c r="F30" s="3">
        <f>COUNTIF($A$2:A30,A30)-1</f>
        <v>0</v>
      </c>
      <c r="G30" s="3" t="str">
        <f t="shared" si="0"/>
        <v>New</v>
      </c>
      <c r="H30" s="3" t="str">
        <f t="shared" si="1"/>
        <v>Oct 2023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 x14ac:dyDescent="0.25">
      <c r="A31" s="1" t="s">
        <v>144</v>
      </c>
      <c r="B31" s="2">
        <v>45411</v>
      </c>
      <c r="C31" s="1">
        <v>78.67</v>
      </c>
      <c r="D31" s="1" t="s">
        <v>15</v>
      </c>
      <c r="E31" s="1" t="s">
        <v>7</v>
      </c>
      <c r="F31" s="3">
        <f>COUNTIF($A$2:A31,A31)-1</f>
        <v>1</v>
      </c>
      <c r="G31" s="3" t="str">
        <f t="shared" si="0"/>
        <v>Active</v>
      </c>
      <c r="H31" s="3" t="str">
        <f t="shared" si="1"/>
        <v>Apr 2024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 x14ac:dyDescent="0.25">
      <c r="A32" s="1" t="s">
        <v>144</v>
      </c>
      <c r="B32" s="2">
        <v>45414</v>
      </c>
      <c r="C32" s="1">
        <v>103.5</v>
      </c>
      <c r="D32" s="1" t="s">
        <v>9</v>
      </c>
      <c r="E32" s="1" t="s">
        <v>7</v>
      </c>
      <c r="F32" s="3">
        <f>COUNTIF($A$2:A32,A32)-1</f>
        <v>2</v>
      </c>
      <c r="G32" s="3" t="str">
        <f t="shared" si="0"/>
        <v>Active</v>
      </c>
      <c r="H32" s="3" t="str">
        <f t="shared" si="1"/>
        <v>May 2024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 x14ac:dyDescent="0.25">
      <c r="A33" s="1" t="s">
        <v>46</v>
      </c>
      <c r="B33" s="2">
        <v>44667</v>
      </c>
      <c r="C33" s="1">
        <v>445.75</v>
      </c>
      <c r="D33" s="1" t="s">
        <v>12</v>
      </c>
      <c r="E33" s="1" t="s">
        <v>10</v>
      </c>
      <c r="F33" s="3">
        <f>COUNTIF($A$2:A33,A33)-1</f>
        <v>0</v>
      </c>
      <c r="G33" s="3" t="str">
        <f t="shared" si="0"/>
        <v>New</v>
      </c>
      <c r="H33" s="3" t="str">
        <f t="shared" si="1"/>
        <v>Apr 2022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 x14ac:dyDescent="0.25">
      <c r="A34" s="1" t="s">
        <v>46</v>
      </c>
      <c r="B34" s="2">
        <v>44702</v>
      </c>
      <c r="C34" s="1">
        <v>777.38</v>
      </c>
      <c r="D34" s="1" t="s">
        <v>21</v>
      </c>
      <c r="E34" s="1" t="s">
        <v>16</v>
      </c>
      <c r="F34" s="3">
        <f>COUNTIF($A$2:A34,A34)-1</f>
        <v>1</v>
      </c>
      <c r="G34" s="3" t="str">
        <f t="shared" si="0"/>
        <v>Active</v>
      </c>
      <c r="H34" s="3" t="str">
        <f t="shared" si="1"/>
        <v>May 2022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 x14ac:dyDescent="0.25">
      <c r="A35" s="1" t="s">
        <v>46</v>
      </c>
      <c r="B35" s="2">
        <v>45359</v>
      </c>
      <c r="C35" s="1">
        <v>54.85</v>
      </c>
      <c r="D35" s="1" t="s">
        <v>12</v>
      </c>
      <c r="E35" s="1" t="s">
        <v>16</v>
      </c>
      <c r="F35" s="3">
        <f>COUNTIF($A$2:A35,A35)-1</f>
        <v>2</v>
      </c>
      <c r="G35" s="3" t="str">
        <f t="shared" si="0"/>
        <v>Active</v>
      </c>
      <c r="H35" s="3" t="str">
        <f t="shared" si="1"/>
        <v>Mar 2024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 x14ac:dyDescent="0.25">
      <c r="A36" s="1" t="s">
        <v>46</v>
      </c>
      <c r="B36" s="2">
        <v>45516</v>
      </c>
      <c r="C36" s="1">
        <v>110.11</v>
      </c>
      <c r="D36" s="1" t="s">
        <v>21</v>
      </c>
      <c r="E36" s="1" t="s">
        <v>10</v>
      </c>
      <c r="F36" s="3">
        <f>COUNTIF($A$2:A36,A36)-1</f>
        <v>3</v>
      </c>
      <c r="G36" s="3" t="str">
        <f t="shared" si="0"/>
        <v>Active</v>
      </c>
      <c r="H36" s="3" t="str">
        <f t="shared" si="1"/>
        <v>Aug 2024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 x14ac:dyDescent="0.25">
      <c r="A37" s="1" t="s">
        <v>46</v>
      </c>
      <c r="B37" s="2">
        <v>45624</v>
      </c>
      <c r="C37" s="1">
        <v>288.14999999999998</v>
      </c>
      <c r="D37" s="1" t="s">
        <v>15</v>
      </c>
      <c r="E37" s="1" t="s">
        <v>10</v>
      </c>
      <c r="F37" s="3">
        <f>COUNTIF($A$2:A37,A37)-1</f>
        <v>4</v>
      </c>
      <c r="G37" s="3" t="str">
        <f t="shared" si="0"/>
        <v>Active</v>
      </c>
      <c r="H37" s="3" t="str">
        <f t="shared" si="1"/>
        <v>Nov 2024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 x14ac:dyDescent="0.25">
      <c r="A38" s="1" t="s">
        <v>89</v>
      </c>
      <c r="B38" s="2">
        <v>44820</v>
      </c>
      <c r="C38" s="1">
        <v>236.51</v>
      </c>
      <c r="D38" s="1" t="s">
        <v>6</v>
      </c>
      <c r="E38" s="1" t="s">
        <v>10</v>
      </c>
      <c r="F38" s="3">
        <f>COUNTIF($A$2:A38,A38)-1</f>
        <v>0</v>
      </c>
      <c r="G38" s="3" t="str">
        <f t="shared" si="0"/>
        <v>New</v>
      </c>
      <c r="H38" s="3" t="str">
        <f t="shared" si="1"/>
        <v>Sept 2022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 x14ac:dyDescent="0.25">
      <c r="A39" s="1" t="s">
        <v>89</v>
      </c>
      <c r="B39" s="2">
        <v>45119</v>
      </c>
      <c r="C39" s="1">
        <v>287.95999999999998</v>
      </c>
      <c r="D39" s="1" t="s">
        <v>12</v>
      </c>
      <c r="E39" s="1" t="s">
        <v>16</v>
      </c>
      <c r="F39" s="3">
        <f>COUNTIF($A$2:A39,A39)-1</f>
        <v>1</v>
      </c>
      <c r="G39" s="3" t="str">
        <f t="shared" si="0"/>
        <v>Active</v>
      </c>
      <c r="H39" s="3" t="str">
        <f t="shared" si="1"/>
        <v>Jul 2023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 x14ac:dyDescent="0.25">
      <c r="A40" s="1" t="s">
        <v>89</v>
      </c>
      <c r="B40" s="2">
        <v>45173</v>
      </c>
      <c r="C40" s="1">
        <v>365.9</v>
      </c>
      <c r="D40" s="1" t="s">
        <v>12</v>
      </c>
      <c r="E40" s="1" t="s">
        <v>16</v>
      </c>
      <c r="F40" s="3">
        <f>COUNTIF($A$2:A40,A40)-1</f>
        <v>2</v>
      </c>
      <c r="G40" s="3" t="str">
        <f t="shared" si="0"/>
        <v>Active</v>
      </c>
      <c r="H40" s="3" t="str">
        <f t="shared" si="1"/>
        <v>Sept 2023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 x14ac:dyDescent="0.25">
      <c r="A41" s="1" t="s">
        <v>132</v>
      </c>
      <c r="B41" s="2">
        <v>45076</v>
      </c>
      <c r="C41" s="1">
        <v>244.88</v>
      </c>
      <c r="D41" s="1" t="s">
        <v>9</v>
      </c>
      <c r="E41" s="1" t="s">
        <v>7</v>
      </c>
      <c r="F41" s="3">
        <f>COUNTIF($A$2:A41,A41)-1</f>
        <v>0</v>
      </c>
      <c r="G41" s="3" t="str">
        <f t="shared" si="0"/>
        <v>New</v>
      </c>
      <c r="H41" s="3" t="str">
        <f t="shared" si="1"/>
        <v>May 2023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 x14ac:dyDescent="0.25">
      <c r="A42" s="1" t="s">
        <v>132</v>
      </c>
      <c r="B42" s="2">
        <v>45347</v>
      </c>
      <c r="C42" s="1">
        <v>439.51</v>
      </c>
      <c r="D42" s="1" t="s">
        <v>9</v>
      </c>
      <c r="E42" s="1" t="s">
        <v>10</v>
      </c>
      <c r="F42" s="3">
        <f>COUNTIF($A$2:A42,A42)-1</f>
        <v>1</v>
      </c>
      <c r="G42" s="3" t="str">
        <f t="shared" si="0"/>
        <v>Active</v>
      </c>
      <c r="H42" s="3" t="str">
        <f t="shared" si="1"/>
        <v>Feb 2024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 x14ac:dyDescent="0.25">
      <c r="A43" s="1" t="s">
        <v>75</v>
      </c>
      <c r="B43" s="2">
        <v>44752</v>
      </c>
      <c r="C43" s="1">
        <v>83.3</v>
      </c>
      <c r="D43" s="1" t="s">
        <v>6</v>
      </c>
      <c r="E43" s="1" t="s">
        <v>7</v>
      </c>
      <c r="F43" s="3">
        <f>COUNTIF($A$2:A43,A43)-1</f>
        <v>0</v>
      </c>
      <c r="G43" s="3" t="str">
        <f t="shared" si="0"/>
        <v>New</v>
      </c>
      <c r="H43" s="3" t="str">
        <f t="shared" si="1"/>
        <v>Jul 2022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 x14ac:dyDescent="0.25">
      <c r="A44" s="1" t="s">
        <v>75</v>
      </c>
      <c r="B44" s="2">
        <v>44934</v>
      </c>
      <c r="C44" s="1">
        <v>153.44999999999999</v>
      </c>
      <c r="D44" s="1" t="s">
        <v>21</v>
      </c>
      <c r="E44" s="1" t="s">
        <v>7</v>
      </c>
      <c r="F44" s="3">
        <f>COUNTIF($A$2:A44,A44)-1</f>
        <v>1</v>
      </c>
      <c r="G44" s="3" t="str">
        <f t="shared" si="0"/>
        <v>Active</v>
      </c>
      <c r="H44" s="3" t="str">
        <f t="shared" si="1"/>
        <v>Jan 2023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 x14ac:dyDescent="0.25">
      <c r="A45" s="1" t="s">
        <v>75</v>
      </c>
      <c r="B45" s="2">
        <v>45160</v>
      </c>
      <c r="C45" s="1">
        <v>148.68</v>
      </c>
      <c r="D45" s="1" t="s">
        <v>21</v>
      </c>
      <c r="E45" s="1" t="s">
        <v>16</v>
      </c>
      <c r="F45" s="3">
        <f>COUNTIF($A$2:A45,A45)-1</f>
        <v>2</v>
      </c>
      <c r="G45" s="3" t="str">
        <f t="shared" si="0"/>
        <v>Active</v>
      </c>
      <c r="H45" s="3" t="str">
        <f t="shared" si="1"/>
        <v>Aug 2023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 x14ac:dyDescent="0.25">
      <c r="A46" s="1" t="s">
        <v>75</v>
      </c>
      <c r="B46" s="2">
        <v>45173</v>
      </c>
      <c r="C46" s="1">
        <v>705.46</v>
      </c>
      <c r="D46" s="1" t="s">
        <v>12</v>
      </c>
      <c r="E46" s="1" t="s">
        <v>16</v>
      </c>
      <c r="F46" s="3">
        <f>COUNTIF($A$2:A46,A46)-1</f>
        <v>3</v>
      </c>
      <c r="G46" s="3" t="str">
        <f t="shared" si="0"/>
        <v>Active</v>
      </c>
      <c r="H46" s="3" t="str">
        <f t="shared" si="1"/>
        <v>Sept 2023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 x14ac:dyDescent="0.25">
      <c r="A47" s="1" t="s">
        <v>75</v>
      </c>
      <c r="B47" s="2">
        <v>45184</v>
      </c>
      <c r="C47" s="1">
        <v>516.23</v>
      </c>
      <c r="D47" s="1" t="s">
        <v>21</v>
      </c>
      <c r="E47" s="1" t="s">
        <v>13</v>
      </c>
      <c r="F47" s="3">
        <f>COUNTIF($A$2:A47,A47)-1</f>
        <v>4</v>
      </c>
      <c r="G47" s="3" t="str">
        <f t="shared" si="0"/>
        <v>Active</v>
      </c>
      <c r="H47" s="3" t="str">
        <f t="shared" si="1"/>
        <v>Sept 2023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 x14ac:dyDescent="0.25">
      <c r="A48" s="1" t="s">
        <v>122</v>
      </c>
      <c r="B48" s="2">
        <v>45035</v>
      </c>
      <c r="C48" s="1">
        <v>534.35</v>
      </c>
      <c r="D48" s="1" t="s">
        <v>21</v>
      </c>
      <c r="E48" s="1" t="s">
        <v>16</v>
      </c>
      <c r="F48" s="3">
        <f>COUNTIF($A$2:A48,A48)-1</f>
        <v>0</v>
      </c>
      <c r="G48" s="3" t="str">
        <f t="shared" si="0"/>
        <v>New</v>
      </c>
      <c r="H48" s="3" t="str">
        <f t="shared" si="1"/>
        <v>Apr 2023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 x14ac:dyDescent="0.25">
      <c r="A49" s="1" t="s">
        <v>122</v>
      </c>
      <c r="B49" s="2">
        <v>45078</v>
      </c>
      <c r="C49" s="1">
        <v>749.03</v>
      </c>
      <c r="D49" s="1" t="s">
        <v>9</v>
      </c>
      <c r="E49" s="1" t="s">
        <v>16</v>
      </c>
      <c r="F49" s="3">
        <f>COUNTIF($A$2:A49,A49)-1</f>
        <v>1</v>
      </c>
      <c r="G49" s="3" t="str">
        <f t="shared" si="0"/>
        <v>Active</v>
      </c>
      <c r="H49" s="3" t="str">
        <f t="shared" si="1"/>
        <v>Jun 2023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 x14ac:dyDescent="0.25">
      <c r="A50" s="1" t="s">
        <v>122</v>
      </c>
      <c r="B50" s="2">
        <v>45133</v>
      </c>
      <c r="C50" s="1">
        <v>966.99</v>
      </c>
      <c r="D50" s="1" t="s">
        <v>15</v>
      </c>
      <c r="E50" s="1" t="s">
        <v>13</v>
      </c>
      <c r="F50" s="3">
        <f>COUNTIF($A$2:A50,A50)-1</f>
        <v>2</v>
      </c>
      <c r="G50" s="3" t="str">
        <f t="shared" si="0"/>
        <v>Active</v>
      </c>
      <c r="H50" s="3" t="str">
        <f t="shared" si="1"/>
        <v>Jul 2023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 x14ac:dyDescent="0.25">
      <c r="A51" s="1" t="s">
        <v>122</v>
      </c>
      <c r="B51" s="2">
        <v>45168</v>
      </c>
      <c r="C51" s="1">
        <v>743.36</v>
      </c>
      <c r="D51" s="1" t="s">
        <v>6</v>
      </c>
      <c r="E51" s="1" t="s">
        <v>13</v>
      </c>
      <c r="F51" s="3">
        <f>COUNTIF($A$2:A51,A51)-1</f>
        <v>3</v>
      </c>
      <c r="G51" s="3" t="str">
        <f t="shared" si="0"/>
        <v>Active</v>
      </c>
      <c r="H51" s="3" t="str">
        <f t="shared" si="1"/>
        <v>Aug 2023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 x14ac:dyDescent="0.25">
      <c r="A52" s="1" t="s">
        <v>78</v>
      </c>
      <c r="B52" s="2">
        <v>44767</v>
      </c>
      <c r="C52" s="1">
        <v>72.92</v>
      </c>
      <c r="D52" s="1" t="s">
        <v>6</v>
      </c>
      <c r="E52" s="1" t="s">
        <v>7</v>
      </c>
      <c r="F52" s="3">
        <f>COUNTIF($A$2:A52,A52)-1</f>
        <v>0</v>
      </c>
      <c r="G52" s="3" t="str">
        <f t="shared" si="0"/>
        <v>New</v>
      </c>
      <c r="H52" s="3" t="str">
        <f t="shared" si="1"/>
        <v>Jul 2022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 x14ac:dyDescent="0.25">
      <c r="A53" s="1" t="s">
        <v>78</v>
      </c>
      <c r="B53" s="2">
        <v>44839</v>
      </c>
      <c r="C53" s="1">
        <v>810.04</v>
      </c>
      <c r="D53" s="1" t="s">
        <v>21</v>
      </c>
      <c r="E53" s="1" t="s">
        <v>7</v>
      </c>
      <c r="F53" s="3">
        <f>COUNTIF($A$2:A53,A53)-1</f>
        <v>1</v>
      </c>
      <c r="G53" s="3" t="str">
        <f t="shared" si="0"/>
        <v>Active</v>
      </c>
      <c r="H53" s="3" t="str">
        <f t="shared" si="1"/>
        <v>Oct 2022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 x14ac:dyDescent="0.25">
      <c r="A54" s="1" t="s">
        <v>78</v>
      </c>
      <c r="B54" s="2">
        <v>45021</v>
      </c>
      <c r="C54" s="1">
        <v>347.66</v>
      </c>
      <c r="D54" s="1" t="s">
        <v>21</v>
      </c>
      <c r="E54" s="1" t="s">
        <v>7</v>
      </c>
      <c r="F54" s="3">
        <f>COUNTIF($A$2:A54,A54)-1</f>
        <v>2</v>
      </c>
      <c r="G54" s="3" t="str">
        <f t="shared" si="0"/>
        <v>Active</v>
      </c>
      <c r="H54" s="3" t="str">
        <f t="shared" si="1"/>
        <v>Apr 2023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 x14ac:dyDescent="0.25">
      <c r="A55" s="1" t="s">
        <v>57</v>
      </c>
      <c r="B55" s="2">
        <v>44695</v>
      </c>
      <c r="C55" s="1">
        <v>969.89</v>
      </c>
      <c r="D55" s="1" t="s">
        <v>9</v>
      </c>
      <c r="E55" s="1" t="s">
        <v>13</v>
      </c>
      <c r="F55" s="3">
        <f>COUNTIF($A$2:A55,A55)-1</f>
        <v>0</v>
      </c>
      <c r="G55" s="3" t="str">
        <f t="shared" si="0"/>
        <v>New</v>
      </c>
      <c r="H55" s="3" t="str">
        <f t="shared" si="1"/>
        <v>May 2022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 x14ac:dyDescent="0.25">
      <c r="A56" s="1" t="s">
        <v>57</v>
      </c>
      <c r="B56" s="2">
        <v>44952</v>
      </c>
      <c r="C56" s="1">
        <v>245.26</v>
      </c>
      <c r="D56" s="1" t="s">
        <v>6</v>
      </c>
      <c r="E56" s="1" t="s">
        <v>7</v>
      </c>
      <c r="F56" s="3">
        <f>COUNTIF($A$2:A56,A56)-1</f>
        <v>1</v>
      </c>
      <c r="G56" s="3" t="str">
        <f t="shared" si="0"/>
        <v>Active</v>
      </c>
      <c r="H56" s="3" t="str">
        <f t="shared" si="1"/>
        <v>Jan 2023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 x14ac:dyDescent="0.25">
      <c r="A57" s="1" t="s">
        <v>57</v>
      </c>
      <c r="B57" s="2">
        <v>45037</v>
      </c>
      <c r="C57" s="1">
        <v>102.17</v>
      </c>
      <c r="D57" s="1" t="s">
        <v>15</v>
      </c>
      <c r="E57" s="1" t="s">
        <v>16</v>
      </c>
      <c r="F57" s="3">
        <f>COUNTIF($A$2:A57,A57)-1</f>
        <v>2</v>
      </c>
      <c r="G57" s="3" t="str">
        <f t="shared" si="0"/>
        <v>Active</v>
      </c>
      <c r="H57" s="3" t="str">
        <f t="shared" si="1"/>
        <v>Apr 2023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 x14ac:dyDescent="0.25">
      <c r="A58" s="1" t="s">
        <v>57</v>
      </c>
      <c r="B58" s="2">
        <v>45189</v>
      </c>
      <c r="C58" s="1">
        <v>704.95</v>
      </c>
      <c r="D58" s="1" t="s">
        <v>15</v>
      </c>
      <c r="E58" s="1" t="s">
        <v>10</v>
      </c>
      <c r="F58" s="3">
        <f>COUNTIF($A$2:A58,A58)-1</f>
        <v>3</v>
      </c>
      <c r="G58" s="3" t="str">
        <f t="shared" si="0"/>
        <v>Active</v>
      </c>
      <c r="H58" s="3" t="str">
        <f t="shared" si="1"/>
        <v>Sept 2023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 x14ac:dyDescent="0.25">
      <c r="A59" s="1" t="s">
        <v>57</v>
      </c>
      <c r="B59" s="2">
        <v>45191</v>
      </c>
      <c r="C59" s="1">
        <v>797.83</v>
      </c>
      <c r="D59" s="1" t="s">
        <v>15</v>
      </c>
      <c r="E59" s="1" t="s">
        <v>10</v>
      </c>
      <c r="F59" s="3">
        <f>COUNTIF($A$2:A59,A59)-1</f>
        <v>4</v>
      </c>
      <c r="G59" s="3" t="str">
        <f t="shared" si="0"/>
        <v>Active</v>
      </c>
      <c r="H59" s="3" t="str">
        <f t="shared" si="1"/>
        <v>Sept 2023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 x14ac:dyDescent="0.25">
      <c r="A60" s="1" t="s">
        <v>57</v>
      </c>
      <c r="B60" s="2">
        <v>45268</v>
      </c>
      <c r="C60" s="1">
        <v>699.01</v>
      </c>
      <c r="D60" s="1" t="s">
        <v>15</v>
      </c>
      <c r="E60" s="1" t="s">
        <v>10</v>
      </c>
      <c r="F60" s="3">
        <f>COUNTIF($A$2:A60,A60)-1</f>
        <v>5</v>
      </c>
      <c r="G60" s="3" t="str">
        <f t="shared" si="0"/>
        <v>Power User</v>
      </c>
      <c r="H60" s="3" t="str">
        <f t="shared" si="1"/>
        <v>Dec 2023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 x14ac:dyDescent="0.25">
      <c r="A61" s="1" t="s">
        <v>57</v>
      </c>
      <c r="B61" s="2">
        <v>45483</v>
      </c>
      <c r="C61" s="1">
        <v>906.33</v>
      </c>
      <c r="D61" s="1" t="s">
        <v>9</v>
      </c>
      <c r="E61" s="1" t="s">
        <v>10</v>
      </c>
      <c r="F61" s="3">
        <f>COUNTIF($A$2:A61,A61)-1</f>
        <v>6</v>
      </c>
      <c r="G61" s="3" t="str">
        <f t="shared" si="0"/>
        <v>Power User</v>
      </c>
      <c r="H61" s="3" t="str">
        <f t="shared" si="1"/>
        <v>Jul 2024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 x14ac:dyDescent="0.25">
      <c r="A62" s="1" t="s">
        <v>57</v>
      </c>
      <c r="B62" s="2">
        <v>45525</v>
      </c>
      <c r="C62" s="1">
        <v>986.77</v>
      </c>
      <c r="D62" s="1" t="s">
        <v>9</v>
      </c>
      <c r="E62" s="1" t="s">
        <v>16</v>
      </c>
      <c r="F62" s="3">
        <f>COUNTIF($A$2:A62,A62)-1</f>
        <v>7</v>
      </c>
      <c r="G62" s="3" t="str">
        <f t="shared" si="0"/>
        <v>Power User</v>
      </c>
      <c r="H62" s="3" t="str">
        <f t="shared" si="1"/>
        <v>Aug 2024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 x14ac:dyDescent="0.25">
      <c r="A63" s="1" t="s">
        <v>68</v>
      </c>
      <c r="B63" s="2">
        <v>44727</v>
      </c>
      <c r="C63" s="1">
        <v>149.51</v>
      </c>
      <c r="D63" s="1" t="s">
        <v>12</v>
      </c>
      <c r="E63" s="1" t="s">
        <v>13</v>
      </c>
      <c r="F63" s="3">
        <f>COUNTIF($A$2:A63,A63)-1</f>
        <v>0</v>
      </c>
      <c r="G63" s="3" t="str">
        <f t="shared" si="0"/>
        <v>New</v>
      </c>
      <c r="H63" s="3" t="str">
        <f t="shared" si="1"/>
        <v>Jun 2022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 x14ac:dyDescent="0.25">
      <c r="A64" s="1" t="s">
        <v>68</v>
      </c>
      <c r="B64" s="2">
        <v>45034</v>
      </c>
      <c r="C64" s="1">
        <v>559.65</v>
      </c>
      <c r="D64" s="1" t="s">
        <v>9</v>
      </c>
      <c r="E64" s="1" t="s">
        <v>16</v>
      </c>
      <c r="F64" s="3">
        <f>COUNTIF($A$2:A64,A64)-1</f>
        <v>1</v>
      </c>
      <c r="G64" s="3" t="str">
        <f t="shared" si="0"/>
        <v>Active</v>
      </c>
      <c r="H64" s="3" t="str">
        <f t="shared" si="1"/>
        <v>Apr 2023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 x14ac:dyDescent="0.25">
      <c r="A65" s="1" t="s">
        <v>68</v>
      </c>
      <c r="B65" s="2">
        <v>45042</v>
      </c>
      <c r="C65" s="1">
        <v>636.77</v>
      </c>
      <c r="D65" s="1" t="s">
        <v>21</v>
      </c>
      <c r="E65" s="1" t="s">
        <v>13</v>
      </c>
      <c r="F65" s="3">
        <f>COUNTIF($A$2:A65,A65)-1</f>
        <v>2</v>
      </c>
      <c r="G65" s="3" t="str">
        <f t="shared" si="0"/>
        <v>Active</v>
      </c>
      <c r="H65" s="3" t="str">
        <f t="shared" si="1"/>
        <v>Apr 2023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 x14ac:dyDescent="0.25">
      <c r="A66" s="1" t="s">
        <v>68</v>
      </c>
      <c r="B66" s="2">
        <v>45242</v>
      </c>
      <c r="C66" s="1">
        <v>641.05999999999995</v>
      </c>
      <c r="D66" s="1" t="s">
        <v>6</v>
      </c>
      <c r="E66" s="1" t="s">
        <v>13</v>
      </c>
      <c r="F66" s="3">
        <f>COUNTIF($A$2:A66,A66)-1</f>
        <v>3</v>
      </c>
      <c r="G66" s="3" t="str">
        <f t="shared" ref="G66:G129" si="2">IF(F66=0,"New",IF(F66&lt;=4,"Active","Power User"))</f>
        <v>Active</v>
      </c>
      <c r="H66" s="3" t="str">
        <f t="shared" ref="H66:H129" si="3">TEXT(B66,"mmm yyyy")</f>
        <v>Nov 2023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 x14ac:dyDescent="0.25">
      <c r="A67" s="1" t="s">
        <v>68</v>
      </c>
      <c r="B67" s="2">
        <v>45253</v>
      </c>
      <c r="C67" s="1">
        <v>797.23</v>
      </c>
      <c r="D67" s="1" t="s">
        <v>15</v>
      </c>
      <c r="E67" s="1" t="s">
        <v>10</v>
      </c>
      <c r="F67" s="3">
        <f>COUNTIF($A$2:A67,A67)-1</f>
        <v>4</v>
      </c>
      <c r="G67" s="3" t="str">
        <f t="shared" si="2"/>
        <v>Active</v>
      </c>
      <c r="H67" s="3" t="str">
        <f t="shared" si="3"/>
        <v>Nov 2023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 x14ac:dyDescent="0.25">
      <c r="A68" s="1" t="s">
        <v>68</v>
      </c>
      <c r="B68" s="2">
        <v>45632</v>
      </c>
      <c r="C68" s="1">
        <v>461.1</v>
      </c>
      <c r="D68" s="1" t="s">
        <v>6</v>
      </c>
      <c r="E68" s="1" t="s">
        <v>7</v>
      </c>
      <c r="F68" s="3">
        <f>COUNTIF($A$2:A68,A68)-1</f>
        <v>5</v>
      </c>
      <c r="G68" s="3" t="str">
        <f t="shared" si="2"/>
        <v>Power User</v>
      </c>
      <c r="H68" s="3" t="str">
        <f t="shared" si="3"/>
        <v>Dec 2024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 x14ac:dyDescent="0.25">
      <c r="A69" s="1" t="s">
        <v>135</v>
      </c>
      <c r="B69" s="2">
        <v>45113</v>
      </c>
      <c r="C69" s="1">
        <v>581.13</v>
      </c>
      <c r="D69" s="1" t="s">
        <v>9</v>
      </c>
      <c r="E69" s="1" t="s">
        <v>7</v>
      </c>
      <c r="F69" s="3">
        <f>COUNTIF($A$2:A69,A69)-1</f>
        <v>0</v>
      </c>
      <c r="G69" s="3" t="str">
        <f t="shared" si="2"/>
        <v>New</v>
      </c>
      <c r="H69" s="3" t="str">
        <f t="shared" si="3"/>
        <v>Jul 2023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 x14ac:dyDescent="0.25">
      <c r="A70" s="1" t="s">
        <v>135</v>
      </c>
      <c r="B70" s="2">
        <v>45396</v>
      </c>
      <c r="C70" s="1">
        <v>579.72</v>
      </c>
      <c r="D70" s="1" t="s">
        <v>15</v>
      </c>
      <c r="E70" s="1" t="s">
        <v>16</v>
      </c>
      <c r="F70" s="3">
        <f>COUNTIF($A$2:A70,A70)-1</f>
        <v>1</v>
      </c>
      <c r="G70" s="3" t="str">
        <f t="shared" si="2"/>
        <v>Active</v>
      </c>
      <c r="H70" s="3" t="str">
        <f t="shared" si="3"/>
        <v>Apr 2024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 x14ac:dyDescent="0.25">
      <c r="A71" s="1" t="s">
        <v>51</v>
      </c>
      <c r="B71" s="2">
        <v>44673</v>
      </c>
      <c r="C71" s="1">
        <v>266.19</v>
      </c>
      <c r="D71" s="1" t="s">
        <v>6</v>
      </c>
      <c r="E71" s="1" t="s">
        <v>16</v>
      </c>
      <c r="F71" s="3">
        <f>COUNTIF($A$2:A71,A71)-1</f>
        <v>0</v>
      </c>
      <c r="G71" s="3" t="str">
        <f t="shared" si="2"/>
        <v>New</v>
      </c>
      <c r="H71" s="3" t="str">
        <f t="shared" si="3"/>
        <v>Apr 2022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 x14ac:dyDescent="0.25">
      <c r="A72" s="1" t="s">
        <v>51</v>
      </c>
      <c r="B72" s="2">
        <v>44704</v>
      </c>
      <c r="C72" s="1">
        <v>601.91999999999996</v>
      </c>
      <c r="D72" s="1" t="s">
        <v>9</v>
      </c>
      <c r="E72" s="1" t="s">
        <v>13</v>
      </c>
      <c r="F72" s="3">
        <f>COUNTIF($A$2:A72,A72)-1</f>
        <v>1</v>
      </c>
      <c r="G72" s="3" t="str">
        <f t="shared" si="2"/>
        <v>Active</v>
      </c>
      <c r="H72" s="3" t="str">
        <f t="shared" si="3"/>
        <v>May 2022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 x14ac:dyDescent="0.25">
      <c r="A73" s="1" t="s">
        <v>51</v>
      </c>
      <c r="B73" s="2">
        <v>44941</v>
      </c>
      <c r="C73" s="1">
        <v>249.63</v>
      </c>
      <c r="D73" s="1" t="s">
        <v>12</v>
      </c>
      <c r="E73" s="1" t="s">
        <v>7</v>
      </c>
      <c r="F73" s="3">
        <f>COUNTIF($A$2:A73,A73)-1</f>
        <v>2</v>
      </c>
      <c r="G73" s="3" t="str">
        <f t="shared" si="2"/>
        <v>Active</v>
      </c>
      <c r="H73" s="3" t="str">
        <f t="shared" si="3"/>
        <v>Jan 2023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 x14ac:dyDescent="0.25">
      <c r="A74" s="1" t="s">
        <v>51</v>
      </c>
      <c r="B74" s="2">
        <v>45187</v>
      </c>
      <c r="C74" s="1">
        <v>800.31</v>
      </c>
      <c r="D74" s="1" t="s">
        <v>15</v>
      </c>
      <c r="E74" s="1" t="s">
        <v>16</v>
      </c>
      <c r="F74" s="3">
        <f>COUNTIF($A$2:A74,A74)-1</f>
        <v>3</v>
      </c>
      <c r="G74" s="3" t="str">
        <f t="shared" si="2"/>
        <v>Active</v>
      </c>
      <c r="H74" s="3" t="str">
        <f t="shared" si="3"/>
        <v>Sept 2023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 x14ac:dyDescent="0.25">
      <c r="A75" s="1" t="s">
        <v>51</v>
      </c>
      <c r="B75" s="2">
        <v>45213</v>
      </c>
      <c r="C75" s="1">
        <v>547.22</v>
      </c>
      <c r="D75" s="1" t="s">
        <v>21</v>
      </c>
      <c r="E75" s="1" t="s">
        <v>10</v>
      </c>
      <c r="F75" s="3">
        <f>COUNTIF($A$2:A75,A75)-1</f>
        <v>4</v>
      </c>
      <c r="G75" s="3" t="str">
        <f t="shared" si="2"/>
        <v>Active</v>
      </c>
      <c r="H75" s="3" t="str">
        <f t="shared" si="3"/>
        <v>Oct 2023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 x14ac:dyDescent="0.25">
      <c r="A76" s="1" t="s">
        <v>109</v>
      </c>
      <c r="B76" s="2">
        <v>44946</v>
      </c>
      <c r="C76" s="1">
        <v>675.41</v>
      </c>
      <c r="D76" s="1" t="s">
        <v>15</v>
      </c>
      <c r="E76" s="1" t="s">
        <v>13</v>
      </c>
      <c r="F76" s="3">
        <f>COUNTIF($A$2:A76,A76)-1</f>
        <v>0</v>
      </c>
      <c r="G76" s="3" t="str">
        <f t="shared" si="2"/>
        <v>New</v>
      </c>
      <c r="H76" s="3" t="str">
        <f t="shared" si="3"/>
        <v>Jan 2023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 x14ac:dyDescent="0.25">
      <c r="A77" s="1" t="s">
        <v>109</v>
      </c>
      <c r="B77" s="2">
        <v>45586</v>
      </c>
      <c r="C77" s="1">
        <v>83.06</v>
      </c>
      <c r="D77" s="1" t="s">
        <v>21</v>
      </c>
      <c r="E77" s="1" t="s">
        <v>16</v>
      </c>
      <c r="F77" s="3">
        <f>COUNTIF($A$2:A77,A77)-1</f>
        <v>1</v>
      </c>
      <c r="G77" s="3" t="str">
        <f t="shared" si="2"/>
        <v>Active</v>
      </c>
      <c r="H77" s="3" t="str">
        <f t="shared" si="3"/>
        <v>Oct 2024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 x14ac:dyDescent="0.25">
      <c r="A78" s="1" t="s">
        <v>22</v>
      </c>
      <c r="B78" s="2">
        <v>44587</v>
      </c>
      <c r="C78" s="1">
        <v>605.1</v>
      </c>
      <c r="D78" s="1" t="s">
        <v>9</v>
      </c>
      <c r="E78" s="1" t="s">
        <v>10</v>
      </c>
      <c r="F78" s="3">
        <f>COUNTIF($A$2:A78,A78)-1</f>
        <v>0</v>
      </c>
      <c r="G78" s="3" t="str">
        <f t="shared" si="2"/>
        <v>New</v>
      </c>
      <c r="H78" s="3" t="str">
        <f t="shared" si="3"/>
        <v>Jan 2022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 x14ac:dyDescent="0.25">
      <c r="A79" s="1" t="s">
        <v>26</v>
      </c>
      <c r="B79" s="2">
        <v>44597</v>
      </c>
      <c r="C79" s="1">
        <v>834.12</v>
      </c>
      <c r="D79" s="1" t="s">
        <v>21</v>
      </c>
      <c r="E79" s="1" t="s">
        <v>10</v>
      </c>
      <c r="F79" s="3">
        <f>COUNTIF($A$2:A79,A79)-1</f>
        <v>0</v>
      </c>
      <c r="G79" s="3" t="str">
        <f t="shared" si="2"/>
        <v>New</v>
      </c>
      <c r="H79" s="3" t="str">
        <f t="shared" si="3"/>
        <v>Feb 2022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 x14ac:dyDescent="0.25">
      <c r="A80" s="1" t="s">
        <v>26</v>
      </c>
      <c r="B80" s="2">
        <v>44646</v>
      </c>
      <c r="C80" s="1">
        <v>949.4</v>
      </c>
      <c r="D80" s="1" t="s">
        <v>15</v>
      </c>
      <c r="E80" s="1" t="s">
        <v>7</v>
      </c>
      <c r="F80" s="3">
        <f>COUNTIF($A$2:A80,A80)-1</f>
        <v>1</v>
      </c>
      <c r="G80" s="3" t="str">
        <f t="shared" si="2"/>
        <v>Active</v>
      </c>
      <c r="H80" s="3" t="str">
        <f t="shared" si="3"/>
        <v>Mar 2022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 x14ac:dyDescent="0.25">
      <c r="A81" s="1" t="s">
        <v>26</v>
      </c>
      <c r="B81" s="2">
        <v>44820</v>
      </c>
      <c r="C81" s="1">
        <v>758</v>
      </c>
      <c r="D81" s="1" t="s">
        <v>15</v>
      </c>
      <c r="E81" s="1" t="s">
        <v>13</v>
      </c>
      <c r="F81" s="3">
        <f>COUNTIF($A$2:A81,A81)-1</f>
        <v>2</v>
      </c>
      <c r="G81" s="3" t="str">
        <f t="shared" si="2"/>
        <v>Active</v>
      </c>
      <c r="H81" s="3" t="str">
        <f t="shared" si="3"/>
        <v>Sept 2022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 x14ac:dyDescent="0.25">
      <c r="A82" s="1" t="s">
        <v>26</v>
      </c>
      <c r="B82" s="2">
        <v>45123</v>
      </c>
      <c r="C82" s="1">
        <v>185.34</v>
      </c>
      <c r="D82" s="1" t="s">
        <v>12</v>
      </c>
      <c r="E82" s="1" t="s">
        <v>10</v>
      </c>
      <c r="F82" s="3">
        <f>COUNTIF($A$2:A82,A82)-1</f>
        <v>3</v>
      </c>
      <c r="G82" s="3" t="str">
        <f t="shared" si="2"/>
        <v>Active</v>
      </c>
      <c r="H82" s="3" t="str">
        <f t="shared" si="3"/>
        <v>Jul 2023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 x14ac:dyDescent="0.25">
      <c r="A83" s="1" t="s">
        <v>26</v>
      </c>
      <c r="B83" s="2">
        <v>45349</v>
      </c>
      <c r="C83" s="1">
        <v>404.52</v>
      </c>
      <c r="D83" s="1" t="s">
        <v>6</v>
      </c>
      <c r="E83" s="1" t="s">
        <v>13</v>
      </c>
      <c r="F83" s="3">
        <f>COUNTIF($A$2:A83,A83)-1</f>
        <v>4</v>
      </c>
      <c r="G83" s="3" t="str">
        <f t="shared" si="2"/>
        <v>Active</v>
      </c>
      <c r="H83" s="3" t="str">
        <f t="shared" si="3"/>
        <v>Feb 2024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 x14ac:dyDescent="0.25">
      <c r="A84" s="1" t="s">
        <v>26</v>
      </c>
      <c r="B84" s="2">
        <v>45601</v>
      </c>
      <c r="C84" s="1">
        <v>633.1</v>
      </c>
      <c r="D84" s="1" t="s">
        <v>21</v>
      </c>
      <c r="E84" s="1" t="s">
        <v>13</v>
      </c>
      <c r="F84" s="3">
        <f>COUNTIF($A$2:A84,A84)-1</f>
        <v>5</v>
      </c>
      <c r="G84" s="3" t="str">
        <f t="shared" si="2"/>
        <v>Power User</v>
      </c>
      <c r="H84" s="3" t="str">
        <f t="shared" si="3"/>
        <v>Nov 2024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 x14ac:dyDescent="0.25">
      <c r="A85" s="1" t="s">
        <v>42</v>
      </c>
      <c r="B85" s="2">
        <v>44655</v>
      </c>
      <c r="C85" s="1">
        <v>810.31</v>
      </c>
      <c r="D85" s="1" t="s">
        <v>9</v>
      </c>
      <c r="E85" s="1" t="s">
        <v>10</v>
      </c>
      <c r="F85" s="3">
        <f>COUNTIF($A$2:A85,A85)-1</f>
        <v>0</v>
      </c>
      <c r="G85" s="3" t="str">
        <f t="shared" si="2"/>
        <v>New</v>
      </c>
      <c r="H85" s="3" t="str">
        <f t="shared" si="3"/>
        <v>Apr 2022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 x14ac:dyDescent="0.25">
      <c r="A86" s="1" t="s">
        <v>42</v>
      </c>
      <c r="B86" s="2">
        <v>45064</v>
      </c>
      <c r="C86" s="1">
        <v>15.01</v>
      </c>
      <c r="D86" s="1" t="s">
        <v>21</v>
      </c>
      <c r="E86" s="1" t="s">
        <v>10</v>
      </c>
      <c r="F86" s="3">
        <f>COUNTIF($A$2:A86,A86)-1</f>
        <v>1</v>
      </c>
      <c r="G86" s="3" t="str">
        <f t="shared" si="2"/>
        <v>Active</v>
      </c>
      <c r="H86" s="3" t="str">
        <f t="shared" si="3"/>
        <v>May 2023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 x14ac:dyDescent="0.25">
      <c r="A87" s="1" t="s">
        <v>42</v>
      </c>
      <c r="B87" s="2">
        <v>45068</v>
      </c>
      <c r="C87" s="1">
        <v>169.2</v>
      </c>
      <c r="D87" s="1" t="s">
        <v>21</v>
      </c>
      <c r="E87" s="1" t="s">
        <v>7</v>
      </c>
      <c r="F87" s="3">
        <f>COUNTIF($A$2:A87,A87)-1</f>
        <v>2</v>
      </c>
      <c r="G87" s="3" t="str">
        <f t="shared" si="2"/>
        <v>Active</v>
      </c>
      <c r="H87" s="3" t="str">
        <f t="shared" si="3"/>
        <v>May 2023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 x14ac:dyDescent="0.25">
      <c r="A88" s="1" t="s">
        <v>60</v>
      </c>
      <c r="B88" s="2">
        <v>44708</v>
      </c>
      <c r="C88" s="1">
        <v>97.61</v>
      </c>
      <c r="D88" s="1" t="s">
        <v>15</v>
      </c>
      <c r="E88" s="1" t="s">
        <v>13</v>
      </c>
      <c r="F88" s="3">
        <f>COUNTIF($A$2:A88,A88)-1</f>
        <v>0</v>
      </c>
      <c r="G88" s="3" t="str">
        <f t="shared" si="2"/>
        <v>New</v>
      </c>
      <c r="H88" s="3" t="str">
        <f t="shared" si="3"/>
        <v>May 2022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 x14ac:dyDescent="0.25">
      <c r="A89" s="1" t="s">
        <v>60</v>
      </c>
      <c r="B89" s="2">
        <v>45078</v>
      </c>
      <c r="C89" s="1">
        <v>332.15</v>
      </c>
      <c r="D89" s="1" t="s">
        <v>15</v>
      </c>
      <c r="E89" s="1" t="s">
        <v>7</v>
      </c>
      <c r="F89" s="3">
        <f>COUNTIF($A$2:A89,A89)-1</f>
        <v>1</v>
      </c>
      <c r="G89" s="3" t="str">
        <f t="shared" si="2"/>
        <v>Active</v>
      </c>
      <c r="H89" s="3" t="str">
        <f t="shared" si="3"/>
        <v>Jun 2023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 x14ac:dyDescent="0.25">
      <c r="A90" s="1" t="s">
        <v>60</v>
      </c>
      <c r="B90" s="2">
        <v>45118</v>
      </c>
      <c r="C90" s="1">
        <v>725.23</v>
      </c>
      <c r="D90" s="1" t="s">
        <v>6</v>
      </c>
      <c r="E90" s="1" t="s">
        <v>7</v>
      </c>
      <c r="F90" s="3">
        <f>COUNTIF($A$2:A90,A90)-1</f>
        <v>2</v>
      </c>
      <c r="G90" s="3" t="str">
        <f t="shared" si="2"/>
        <v>Active</v>
      </c>
      <c r="H90" s="3" t="str">
        <f t="shared" si="3"/>
        <v>Jul 2023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 x14ac:dyDescent="0.25">
      <c r="A91" s="1" t="s">
        <v>60</v>
      </c>
      <c r="B91" s="2">
        <v>45250</v>
      </c>
      <c r="C91" s="1">
        <v>329.73</v>
      </c>
      <c r="D91" s="1" t="s">
        <v>21</v>
      </c>
      <c r="E91" s="1" t="s">
        <v>7</v>
      </c>
      <c r="F91" s="3">
        <f>COUNTIF($A$2:A91,A91)-1</f>
        <v>3</v>
      </c>
      <c r="G91" s="3" t="str">
        <f t="shared" si="2"/>
        <v>Active</v>
      </c>
      <c r="H91" s="3" t="str">
        <f t="shared" si="3"/>
        <v>Nov 2023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 x14ac:dyDescent="0.25">
      <c r="A92" s="1" t="s">
        <v>19</v>
      </c>
      <c r="B92" s="2">
        <v>44582</v>
      </c>
      <c r="C92" s="1">
        <v>67.5</v>
      </c>
      <c r="D92" s="1" t="s">
        <v>15</v>
      </c>
      <c r="E92" s="1" t="s">
        <v>7</v>
      </c>
      <c r="F92" s="3">
        <f>COUNTIF($A$2:A92,A92)-1</f>
        <v>0</v>
      </c>
      <c r="G92" s="3" t="str">
        <f t="shared" si="2"/>
        <v>New</v>
      </c>
      <c r="H92" s="3" t="str">
        <f t="shared" si="3"/>
        <v>Jan 2022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 x14ac:dyDescent="0.25">
      <c r="A93" s="1" t="s">
        <v>19</v>
      </c>
      <c r="B93" s="2">
        <v>44644</v>
      </c>
      <c r="C93" s="1">
        <v>74.400000000000006</v>
      </c>
      <c r="D93" s="1" t="s">
        <v>21</v>
      </c>
      <c r="E93" s="1" t="s">
        <v>16</v>
      </c>
      <c r="F93" s="3">
        <f>COUNTIF($A$2:A93,A93)-1</f>
        <v>1</v>
      </c>
      <c r="G93" s="3" t="str">
        <f t="shared" si="2"/>
        <v>Active</v>
      </c>
      <c r="H93" s="3" t="str">
        <f t="shared" si="3"/>
        <v>Mar 2022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 x14ac:dyDescent="0.25">
      <c r="A94" s="1" t="s">
        <v>19</v>
      </c>
      <c r="B94" s="2">
        <v>45317</v>
      </c>
      <c r="C94" s="1">
        <v>615.6</v>
      </c>
      <c r="D94" s="1" t="s">
        <v>21</v>
      </c>
      <c r="E94" s="1" t="s">
        <v>7</v>
      </c>
      <c r="F94" s="3">
        <f>COUNTIF($A$2:A94,A94)-1</f>
        <v>2</v>
      </c>
      <c r="G94" s="3" t="str">
        <f t="shared" si="2"/>
        <v>Active</v>
      </c>
      <c r="H94" s="3" t="str">
        <f t="shared" si="3"/>
        <v>Jan 2024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 x14ac:dyDescent="0.25">
      <c r="A95" s="1" t="s">
        <v>19</v>
      </c>
      <c r="B95" s="2">
        <v>45425</v>
      </c>
      <c r="C95" s="1">
        <v>846.43</v>
      </c>
      <c r="D95" s="1" t="s">
        <v>21</v>
      </c>
      <c r="E95" s="1" t="s">
        <v>10</v>
      </c>
      <c r="F95" s="3">
        <f>COUNTIF($A$2:A95,A95)-1</f>
        <v>3</v>
      </c>
      <c r="G95" s="3" t="str">
        <f t="shared" si="2"/>
        <v>Active</v>
      </c>
      <c r="H95" s="3" t="str">
        <f t="shared" si="3"/>
        <v>May 2024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 x14ac:dyDescent="0.25">
      <c r="A96" s="1" t="s">
        <v>100</v>
      </c>
      <c r="B96" s="2">
        <v>44886</v>
      </c>
      <c r="C96" s="1">
        <v>329.97</v>
      </c>
      <c r="D96" s="1" t="s">
        <v>6</v>
      </c>
      <c r="E96" s="1" t="s">
        <v>13</v>
      </c>
      <c r="F96" s="3">
        <f>COUNTIF($A$2:A96,A96)-1</f>
        <v>0</v>
      </c>
      <c r="G96" s="3" t="str">
        <f t="shared" si="2"/>
        <v>New</v>
      </c>
      <c r="H96" s="3" t="str">
        <f t="shared" si="3"/>
        <v>Nov 2022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 x14ac:dyDescent="0.25">
      <c r="A97" s="1" t="s">
        <v>100</v>
      </c>
      <c r="B97" s="2">
        <v>45084</v>
      </c>
      <c r="C97" s="1">
        <v>661.04</v>
      </c>
      <c r="D97" s="1" t="s">
        <v>21</v>
      </c>
      <c r="E97" s="1" t="s">
        <v>7</v>
      </c>
      <c r="F97" s="3">
        <f>COUNTIF($A$2:A97,A97)-1</f>
        <v>1</v>
      </c>
      <c r="G97" s="3" t="str">
        <f t="shared" si="2"/>
        <v>Active</v>
      </c>
      <c r="H97" s="3" t="str">
        <f t="shared" si="3"/>
        <v>Jun 2023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 x14ac:dyDescent="0.25">
      <c r="A98" s="1" t="s">
        <v>100</v>
      </c>
      <c r="B98" s="2">
        <v>45330</v>
      </c>
      <c r="C98" s="1">
        <v>760.27</v>
      </c>
      <c r="D98" s="1" t="s">
        <v>21</v>
      </c>
      <c r="E98" s="1" t="s">
        <v>7</v>
      </c>
      <c r="F98" s="3">
        <f>COUNTIF($A$2:A98,A98)-1</f>
        <v>2</v>
      </c>
      <c r="G98" s="3" t="str">
        <f t="shared" si="2"/>
        <v>Active</v>
      </c>
      <c r="H98" s="3" t="str">
        <f t="shared" si="3"/>
        <v>Feb 2024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 x14ac:dyDescent="0.25">
      <c r="A99" s="1" t="s">
        <v>100</v>
      </c>
      <c r="B99" s="2">
        <v>45454</v>
      </c>
      <c r="C99" s="1">
        <v>378.3</v>
      </c>
      <c r="D99" s="1" t="s">
        <v>12</v>
      </c>
      <c r="E99" s="1" t="s">
        <v>10</v>
      </c>
      <c r="F99" s="3">
        <f>COUNTIF($A$2:A99,A99)-1</f>
        <v>3</v>
      </c>
      <c r="G99" s="3" t="str">
        <f t="shared" si="2"/>
        <v>Active</v>
      </c>
      <c r="H99" s="3" t="str">
        <f t="shared" si="3"/>
        <v>Jun 2024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 x14ac:dyDescent="0.25">
      <c r="A100" s="1" t="s">
        <v>100</v>
      </c>
      <c r="B100" s="2">
        <v>45503</v>
      </c>
      <c r="C100" s="1">
        <v>100.29</v>
      </c>
      <c r="D100" s="1" t="s">
        <v>15</v>
      </c>
      <c r="E100" s="1" t="s">
        <v>13</v>
      </c>
      <c r="F100" s="3">
        <f>COUNTIF($A$2:A100,A100)-1</f>
        <v>4</v>
      </c>
      <c r="G100" s="3" t="str">
        <f t="shared" si="2"/>
        <v>Active</v>
      </c>
      <c r="H100" s="3" t="str">
        <f t="shared" si="3"/>
        <v>Jul 2024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 x14ac:dyDescent="0.25">
      <c r="A101" s="1" t="s">
        <v>5</v>
      </c>
      <c r="B101" s="2">
        <v>44564</v>
      </c>
      <c r="C101" s="1">
        <v>380.79</v>
      </c>
      <c r="D101" s="1" t="s">
        <v>6</v>
      </c>
      <c r="E101" s="1" t="s">
        <v>7</v>
      </c>
      <c r="F101" s="3">
        <f>COUNTIF($A$2:A101,A101)-1</f>
        <v>0</v>
      </c>
      <c r="G101" s="3" t="str">
        <f t="shared" si="2"/>
        <v>New</v>
      </c>
      <c r="H101" s="3" t="str">
        <f t="shared" si="3"/>
        <v>Jan 2022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 x14ac:dyDescent="0.25">
      <c r="A102" s="1" t="s">
        <v>5</v>
      </c>
      <c r="B102" s="2">
        <v>44821</v>
      </c>
      <c r="C102" s="1">
        <v>86.21</v>
      </c>
      <c r="D102" s="1" t="s">
        <v>9</v>
      </c>
      <c r="E102" s="1" t="s">
        <v>10</v>
      </c>
      <c r="F102" s="3">
        <f>COUNTIF($A$2:A102,A102)-1</f>
        <v>1</v>
      </c>
      <c r="G102" s="3" t="str">
        <f t="shared" si="2"/>
        <v>Active</v>
      </c>
      <c r="H102" s="3" t="str">
        <f t="shared" si="3"/>
        <v>Sept 2022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 x14ac:dyDescent="0.25">
      <c r="A103" s="1" t="s">
        <v>5</v>
      </c>
      <c r="B103" s="2">
        <v>44872</v>
      </c>
      <c r="C103" s="1">
        <v>432.84</v>
      </c>
      <c r="D103" s="1" t="s">
        <v>12</v>
      </c>
      <c r="E103" s="1" t="s">
        <v>7</v>
      </c>
      <c r="F103" s="3">
        <f>COUNTIF($A$2:A103,A103)-1</f>
        <v>2</v>
      </c>
      <c r="G103" s="3" t="str">
        <f t="shared" si="2"/>
        <v>Active</v>
      </c>
      <c r="H103" s="3" t="str">
        <f t="shared" si="3"/>
        <v>Nov 2022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 x14ac:dyDescent="0.25">
      <c r="A104" s="1" t="s">
        <v>5</v>
      </c>
      <c r="B104" s="2">
        <v>44922</v>
      </c>
      <c r="C104" s="1">
        <v>60.96</v>
      </c>
      <c r="D104" s="1" t="s">
        <v>6</v>
      </c>
      <c r="E104" s="1" t="s">
        <v>13</v>
      </c>
      <c r="F104" s="3">
        <f>COUNTIF($A$2:A104,A104)-1</f>
        <v>3</v>
      </c>
      <c r="G104" s="3" t="str">
        <f t="shared" si="2"/>
        <v>Active</v>
      </c>
      <c r="H104" s="3" t="str">
        <f t="shared" si="3"/>
        <v>Dec 2022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 x14ac:dyDescent="0.25">
      <c r="A105" s="1" t="s">
        <v>5</v>
      </c>
      <c r="B105" s="2">
        <v>45394</v>
      </c>
      <c r="C105" s="1">
        <v>940.83</v>
      </c>
      <c r="D105" s="1" t="s">
        <v>21</v>
      </c>
      <c r="E105" s="1" t="s">
        <v>7</v>
      </c>
      <c r="F105" s="3">
        <f>COUNTIF($A$2:A105,A105)-1</f>
        <v>4</v>
      </c>
      <c r="G105" s="3" t="str">
        <f t="shared" si="2"/>
        <v>Active</v>
      </c>
      <c r="H105" s="3" t="str">
        <f t="shared" si="3"/>
        <v>Apr 2024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 x14ac:dyDescent="0.25">
      <c r="A106" s="1" t="s">
        <v>95</v>
      </c>
      <c r="B106" s="2">
        <v>44866</v>
      </c>
      <c r="C106" s="1">
        <v>897.13</v>
      </c>
      <c r="D106" s="1" t="s">
        <v>21</v>
      </c>
      <c r="E106" s="1" t="s">
        <v>16</v>
      </c>
      <c r="F106" s="3">
        <f>COUNTIF($A$2:A106,A106)-1</f>
        <v>0</v>
      </c>
      <c r="G106" s="3" t="str">
        <f t="shared" si="2"/>
        <v>New</v>
      </c>
      <c r="H106" s="3" t="str">
        <f t="shared" si="3"/>
        <v>Nov 2022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 x14ac:dyDescent="0.25">
      <c r="A107" s="1" t="s">
        <v>95</v>
      </c>
      <c r="B107" s="2">
        <v>45329</v>
      </c>
      <c r="C107" s="1">
        <v>362.41</v>
      </c>
      <c r="D107" s="1" t="s">
        <v>12</v>
      </c>
      <c r="E107" s="1" t="s">
        <v>7</v>
      </c>
      <c r="F107" s="3">
        <f>COUNTIF($A$2:A107,A107)-1</f>
        <v>1</v>
      </c>
      <c r="G107" s="3" t="str">
        <f t="shared" si="2"/>
        <v>Active</v>
      </c>
      <c r="H107" s="3" t="str">
        <f t="shared" si="3"/>
        <v>Feb 2024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 x14ac:dyDescent="0.25">
      <c r="A108" s="1" t="s">
        <v>95</v>
      </c>
      <c r="B108" s="2">
        <v>45494</v>
      </c>
      <c r="C108" s="1">
        <v>300.27999999999997</v>
      </c>
      <c r="D108" s="1" t="s">
        <v>15</v>
      </c>
      <c r="E108" s="1" t="s">
        <v>16</v>
      </c>
      <c r="F108" s="3">
        <f>COUNTIF($A$2:A108,A108)-1</f>
        <v>2</v>
      </c>
      <c r="G108" s="3" t="str">
        <f t="shared" si="2"/>
        <v>Active</v>
      </c>
      <c r="H108" s="3" t="str">
        <f t="shared" si="3"/>
        <v>Jul 2024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 x14ac:dyDescent="0.25">
      <c r="A109" s="1" t="s">
        <v>95</v>
      </c>
      <c r="B109" s="2">
        <v>45513</v>
      </c>
      <c r="C109" s="1">
        <v>357.41</v>
      </c>
      <c r="D109" s="1" t="s">
        <v>21</v>
      </c>
      <c r="E109" s="1" t="s">
        <v>10</v>
      </c>
      <c r="F109" s="3">
        <f>COUNTIF($A$2:A109,A109)-1</f>
        <v>3</v>
      </c>
      <c r="G109" s="3" t="str">
        <f t="shared" si="2"/>
        <v>Active</v>
      </c>
      <c r="H109" s="3" t="str">
        <f t="shared" si="3"/>
        <v>Aug 2024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 x14ac:dyDescent="0.25">
      <c r="A110" s="1" t="s">
        <v>120</v>
      </c>
      <c r="B110" s="2">
        <v>45011</v>
      </c>
      <c r="C110" s="1">
        <v>392.87</v>
      </c>
      <c r="D110" s="1" t="s">
        <v>12</v>
      </c>
      <c r="E110" s="1" t="s">
        <v>13</v>
      </c>
      <c r="F110" s="3">
        <f>COUNTIF($A$2:A110,A110)-1</f>
        <v>0</v>
      </c>
      <c r="G110" s="3" t="str">
        <f t="shared" si="2"/>
        <v>New</v>
      </c>
      <c r="H110" s="3" t="str">
        <f t="shared" si="3"/>
        <v>Mar 2023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 x14ac:dyDescent="0.25">
      <c r="A111" s="1" t="s">
        <v>120</v>
      </c>
      <c r="B111" s="2">
        <v>45200</v>
      </c>
      <c r="C111" s="1">
        <v>381.83</v>
      </c>
      <c r="D111" s="1" t="s">
        <v>6</v>
      </c>
      <c r="E111" s="1" t="s">
        <v>13</v>
      </c>
      <c r="F111" s="3">
        <f>COUNTIF($A$2:A111,A111)-1</f>
        <v>1</v>
      </c>
      <c r="G111" s="3" t="str">
        <f t="shared" si="2"/>
        <v>Active</v>
      </c>
      <c r="H111" s="3" t="str">
        <f t="shared" si="3"/>
        <v>Oct 2023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 x14ac:dyDescent="0.25">
      <c r="A112" s="1" t="s">
        <v>49</v>
      </c>
      <c r="B112" s="2">
        <v>44671</v>
      </c>
      <c r="C112" s="1">
        <v>44.04</v>
      </c>
      <c r="D112" s="1" t="s">
        <v>12</v>
      </c>
      <c r="E112" s="1" t="s">
        <v>16</v>
      </c>
      <c r="F112" s="3">
        <f>COUNTIF($A$2:A112,A112)-1</f>
        <v>0</v>
      </c>
      <c r="G112" s="3" t="str">
        <f t="shared" si="2"/>
        <v>New</v>
      </c>
      <c r="H112" s="3" t="str">
        <f t="shared" si="3"/>
        <v>Apr 2022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 x14ac:dyDescent="0.25">
      <c r="A113" s="1" t="s">
        <v>49</v>
      </c>
      <c r="B113" s="2">
        <v>45531</v>
      </c>
      <c r="C113" s="1">
        <v>814.67</v>
      </c>
      <c r="D113" s="1" t="s">
        <v>12</v>
      </c>
      <c r="E113" s="1" t="s">
        <v>10</v>
      </c>
      <c r="F113" s="3">
        <f>COUNTIF($A$2:A113,A113)-1</f>
        <v>1</v>
      </c>
      <c r="G113" s="3" t="str">
        <f t="shared" si="2"/>
        <v>Active</v>
      </c>
      <c r="H113" s="3" t="str">
        <f t="shared" si="3"/>
        <v>Aug 2024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 x14ac:dyDescent="0.25">
      <c r="A114" s="1" t="s">
        <v>111</v>
      </c>
      <c r="B114" s="2">
        <v>44954</v>
      </c>
      <c r="C114" s="1">
        <v>374.11</v>
      </c>
      <c r="D114" s="1" t="s">
        <v>21</v>
      </c>
      <c r="E114" s="1" t="s">
        <v>13</v>
      </c>
      <c r="F114" s="3">
        <f>COUNTIF($A$2:A114,A114)-1</f>
        <v>0</v>
      </c>
      <c r="G114" s="3" t="str">
        <f t="shared" si="2"/>
        <v>New</v>
      </c>
      <c r="H114" s="3" t="str">
        <f t="shared" si="3"/>
        <v>Jan 2023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 x14ac:dyDescent="0.25">
      <c r="A115" s="1" t="s">
        <v>111</v>
      </c>
      <c r="B115" s="2">
        <v>44956</v>
      </c>
      <c r="C115" s="1">
        <v>635.98</v>
      </c>
      <c r="D115" s="1" t="s">
        <v>6</v>
      </c>
      <c r="E115" s="1" t="s">
        <v>7</v>
      </c>
      <c r="F115" s="3">
        <f>COUNTIF($A$2:A115,A115)-1</f>
        <v>1</v>
      </c>
      <c r="G115" s="3" t="str">
        <f t="shared" si="2"/>
        <v>Active</v>
      </c>
      <c r="H115" s="3" t="str">
        <f t="shared" si="3"/>
        <v>Jan 2023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 x14ac:dyDescent="0.25">
      <c r="A116" s="1" t="s">
        <v>111</v>
      </c>
      <c r="B116" s="2">
        <v>45411</v>
      </c>
      <c r="C116" s="1">
        <v>203.83</v>
      </c>
      <c r="D116" s="1" t="s">
        <v>21</v>
      </c>
      <c r="E116" s="1" t="s">
        <v>13</v>
      </c>
      <c r="F116" s="3">
        <f>COUNTIF($A$2:A116,A116)-1</f>
        <v>2</v>
      </c>
      <c r="G116" s="3" t="str">
        <f t="shared" si="2"/>
        <v>Active</v>
      </c>
      <c r="H116" s="3" t="str">
        <f t="shared" si="3"/>
        <v>Apr 2024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 x14ac:dyDescent="0.25">
      <c r="A117" s="1" t="s">
        <v>111</v>
      </c>
      <c r="B117" s="2">
        <v>45552</v>
      </c>
      <c r="C117" s="1">
        <v>907.29</v>
      </c>
      <c r="D117" s="1" t="s">
        <v>6</v>
      </c>
      <c r="E117" s="1" t="s">
        <v>7</v>
      </c>
      <c r="F117" s="3">
        <f>COUNTIF($A$2:A117,A117)-1</f>
        <v>3</v>
      </c>
      <c r="G117" s="3" t="str">
        <f t="shared" si="2"/>
        <v>Active</v>
      </c>
      <c r="H117" s="3" t="str">
        <f t="shared" si="3"/>
        <v>Sept 2024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 x14ac:dyDescent="0.25">
      <c r="A118" s="1" t="s">
        <v>126</v>
      </c>
      <c r="B118" s="2">
        <v>45054</v>
      </c>
      <c r="C118" s="1">
        <v>645.61</v>
      </c>
      <c r="D118" s="1" t="s">
        <v>9</v>
      </c>
      <c r="E118" s="1" t="s">
        <v>7</v>
      </c>
      <c r="F118" s="3">
        <f>COUNTIF($A$2:A118,A118)-1</f>
        <v>0</v>
      </c>
      <c r="G118" s="3" t="str">
        <f t="shared" si="2"/>
        <v>New</v>
      </c>
      <c r="H118" s="3" t="str">
        <f t="shared" si="3"/>
        <v>May 2023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 x14ac:dyDescent="0.25">
      <c r="A119" s="1" t="s">
        <v>126</v>
      </c>
      <c r="B119" s="2">
        <v>45237</v>
      </c>
      <c r="C119" s="1">
        <v>94.49</v>
      </c>
      <c r="D119" s="1" t="s">
        <v>12</v>
      </c>
      <c r="E119" s="1" t="s">
        <v>10</v>
      </c>
      <c r="F119" s="3">
        <f>COUNTIF($A$2:A119,A119)-1</f>
        <v>1</v>
      </c>
      <c r="G119" s="3" t="str">
        <f t="shared" si="2"/>
        <v>Active</v>
      </c>
      <c r="H119" s="3" t="str">
        <f t="shared" si="3"/>
        <v>Nov 2023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 x14ac:dyDescent="0.25">
      <c r="A120" s="1" t="s">
        <v>126</v>
      </c>
      <c r="B120" s="2">
        <v>45260</v>
      </c>
      <c r="C120" s="1">
        <v>963.02</v>
      </c>
      <c r="D120" s="1" t="s">
        <v>9</v>
      </c>
      <c r="E120" s="1" t="s">
        <v>7</v>
      </c>
      <c r="F120" s="3">
        <f>COUNTIF($A$2:A120,A120)-1</f>
        <v>2</v>
      </c>
      <c r="G120" s="3" t="str">
        <f t="shared" si="2"/>
        <v>Active</v>
      </c>
      <c r="H120" s="3" t="str">
        <f t="shared" si="3"/>
        <v>Nov 2023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 x14ac:dyDescent="0.25">
      <c r="A121" s="1" t="s">
        <v>126</v>
      </c>
      <c r="B121" s="2">
        <v>45374</v>
      </c>
      <c r="C121" s="1">
        <v>508.1</v>
      </c>
      <c r="D121" s="1" t="s">
        <v>12</v>
      </c>
      <c r="E121" s="1" t="s">
        <v>10</v>
      </c>
      <c r="F121" s="3">
        <f>COUNTIF($A$2:A121,A121)-1</f>
        <v>3</v>
      </c>
      <c r="G121" s="3" t="str">
        <f t="shared" si="2"/>
        <v>Active</v>
      </c>
      <c r="H121" s="3" t="str">
        <f t="shared" si="3"/>
        <v>Mar 2024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 x14ac:dyDescent="0.25">
      <c r="A122" s="1" t="s">
        <v>152</v>
      </c>
      <c r="B122" s="2">
        <v>45317</v>
      </c>
      <c r="C122" s="1">
        <v>425.4</v>
      </c>
      <c r="D122" s="1" t="s">
        <v>6</v>
      </c>
      <c r="E122" s="1" t="s">
        <v>10</v>
      </c>
      <c r="F122" s="3">
        <f>COUNTIF($A$2:A122,A122)-1</f>
        <v>0</v>
      </c>
      <c r="G122" s="3" t="str">
        <f t="shared" si="2"/>
        <v>New</v>
      </c>
      <c r="H122" s="3" t="str">
        <f t="shared" si="3"/>
        <v>Jan 2024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 x14ac:dyDescent="0.25">
      <c r="A123" s="1" t="s">
        <v>18</v>
      </c>
      <c r="B123" s="2">
        <v>44581</v>
      </c>
      <c r="C123" s="1">
        <v>164.43</v>
      </c>
      <c r="D123" s="1" t="s">
        <v>15</v>
      </c>
      <c r="E123" s="1" t="s">
        <v>13</v>
      </c>
      <c r="F123" s="3">
        <f>COUNTIF($A$2:A123,A123)-1</f>
        <v>0</v>
      </c>
      <c r="G123" s="3" t="str">
        <f t="shared" si="2"/>
        <v>New</v>
      </c>
      <c r="H123" s="3" t="str">
        <f t="shared" si="3"/>
        <v>Jan 2022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 x14ac:dyDescent="0.25">
      <c r="A124" s="1" t="s">
        <v>18</v>
      </c>
      <c r="B124" s="2">
        <v>44795</v>
      </c>
      <c r="C124" s="1">
        <v>565.66</v>
      </c>
      <c r="D124" s="1" t="s">
        <v>9</v>
      </c>
      <c r="E124" s="1" t="s">
        <v>10</v>
      </c>
      <c r="F124" s="3">
        <f>COUNTIF($A$2:A124,A124)-1</f>
        <v>1</v>
      </c>
      <c r="G124" s="3" t="str">
        <f t="shared" si="2"/>
        <v>Active</v>
      </c>
      <c r="H124" s="3" t="str">
        <f t="shared" si="3"/>
        <v>Aug 2022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 x14ac:dyDescent="0.25">
      <c r="A125" s="1" t="s">
        <v>18</v>
      </c>
      <c r="B125" s="2">
        <v>44810</v>
      </c>
      <c r="C125" s="1">
        <v>908.49</v>
      </c>
      <c r="D125" s="1" t="s">
        <v>9</v>
      </c>
      <c r="E125" s="1" t="s">
        <v>13</v>
      </c>
      <c r="F125" s="3">
        <f>COUNTIF($A$2:A125,A125)-1</f>
        <v>2</v>
      </c>
      <c r="G125" s="3" t="str">
        <f t="shared" si="2"/>
        <v>Active</v>
      </c>
      <c r="H125" s="3" t="str">
        <f t="shared" si="3"/>
        <v>Sept 2022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 x14ac:dyDescent="0.25">
      <c r="A126" s="1" t="s">
        <v>18</v>
      </c>
      <c r="B126" s="2">
        <v>45103</v>
      </c>
      <c r="C126" s="1">
        <v>973.28</v>
      </c>
      <c r="D126" s="1" t="s">
        <v>6</v>
      </c>
      <c r="E126" s="1" t="s">
        <v>13</v>
      </c>
      <c r="F126" s="3">
        <f>COUNTIF($A$2:A126,A126)-1</f>
        <v>3</v>
      </c>
      <c r="G126" s="3" t="str">
        <f t="shared" si="2"/>
        <v>Active</v>
      </c>
      <c r="H126" s="3" t="str">
        <f t="shared" si="3"/>
        <v>Jun 2023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 x14ac:dyDescent="0.25">
      <c r="A127" s="1" t="s">
        <v>83</v>
      </c>
      <c r="B127" s="2">
        <v>44783</v>
      </c>
      <c r="C127" s="1">
        <v>716.11</v>
      </c>
      <c r="D127" s="1" t="s">
        <v>12</v>
      </c>
      <c r="E127" s="1" t="s">
        <v>7</v>
      </c>
      <c r="F127" s="3">
        <f>COUNTIF($A$2:A127,A127)-1</f>
        <v>0</v>
      </c>
      <c r="G127" s="3" t="str">
        <f t="shared" si="2"/>
        <v>New</v>
      </c>
      <c r="H127" s="3" t="str">
        <f t="shared" si="3"/>
        <v>Aug 2022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 x14ac:dyDescent="0.25">
      <c r="A128" s="1" t="s">
        <v>156</v>
      </c>
      <c r="B128" s="2">
        <v>45405</v>
      </c>
      <c r="C128" s="1">
        <v>961.58</v>
      </c>
      <c r="D128" s="1" t="s">
        <v>21</v>
      </c>
      <c r="E128" s="1" t="s">
        <v>7</v>
      </c>
      <c r="F128" s="3">
        <f>COUNTIF($A$2:A128,A128)-1</f>
        <v>0</v>
      </c>
      <c r="G128" s="3" t="str">
        <f t="shared" si="2"/>
        <v>New</v>
      </c>
      <c r="H128" s="3" t="str">
        <f t="shared" si="3"/>
        <v>Apr 2024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 x14ac:dyDescent="0.25">
      <c r="A129" s="1" t="s">
        <v>156</v>
      </c>
      <c r="B129" s="2">
        <v>45622</v>
      </c>
      <c r="C129" s="1">
        <v>902.15</v>
      </c>
      <c r="D129" s="1" t="s">
        <v>12</v>
      </c>
      <c r="E129" s="1" t="s">
        <v>7</v>
      </c>
      <c r="F129" s="3">
        <f>COUNTIF($A$2:A129,A129)-1</f>
        <v>1</v>
      </c>
      <c r="G129" s="3" t="str">
        <f t="shared" si="2"/>
        <v>Active</v>
      </c>
      <c r="H129" s="3" t="str">
        <f t="shared" si="3"/>
        <v>Nov 2024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 x14ac:dyDescent="0.25">
      <c r="A130" s="1" t="s">
        <v>156</v>
      </c>
      <c r="B130" s="2">
        <v>45655</v>
      </c>
      <c r="C130" s="1">
        <v>986.35</v>
      </c>
      <c r="D130" s="1" t="s">
        <v>9</v>
      </c>
      <c r="E130" s="1" t="s">
        <v>13</v>
      </c>
      <c r="F130" s="3">
        <f>COUNTIF($A$2:A130,A130)-1</f>
        <v>2</v>
      </c>
      <c r="G130" s="3" t="str">
        <f t="shared" ref="G130:G193" si="4">IF(F130=0,"New",IF(F130&lt;=4,"Active","Power User"))</f>
        <v>Active</v>
      </c>
      <c r="H130" s="3" t="str">
        <f t="shared" ref="H130:H193" si="5">TEXT(B130,"mmm yyyy")</f>
        <v>Dec 2024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 x14ac:dyDescent="0.25">
      <c r="A131" s="1" t="s">
        <v>154</v>
      </c>
      <c r="B131" s="2">
        <v>45397</v>
      </c>
      <c r="C131" s="1">
        <v>394.29</v>
      </c>
      <c r="D131" s="1" t="s">
        <v>12</v>
      </c>
      <c r="E131" s="1" t="s">
        <v>13</v>
      </c>
      <c r="F131" s="3">
        <f>COUNTIF($A$2:A131,A131)-1</f>
        <v>0</v>
      </c>
      <c r="G131" s="3" t="str">
        <f t="shared" si="4"/>
        <v>New</v>
      </c>
      <c r="H131" s="3" t="str">
        <f t="shared" si="5"/>
        <v>Apr 2024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 x14ac:dyDescent="0.25">
      <c r="A132" s="1" t="s">
        <v>39</v>
      </c>
      <c r="B132" s="2">
        <v>44637</v>
      </c>
      <c r="C132" s="1">
        <v>55.99</v>
      </c>
      <c r="D132" s="1" t="s">
        <v>12</v>
      </c>
      <c r="E132" s="1" t="s">
        <v>16</v>
      </c>
      <c r="F132" s="3">
        <f>COUNTIF($A$2:A132,A132)-1</f>
        <v>0</v>
      </c>
      <c r="G132" s="3" t="str">
        <f t="shared" si="4"/>
        <v>New</v>
      </c>
      <c r="H132" s="3" t="str">
        <f t="shared" si="5"/>
        <v>Mar 2022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 x14ac:dyDescent="0.25">
      <c r="A133" s="1" t="s">
        <v>39</v>
      </c>
      <c r="B133" s="2">
        <v>44823</v>
      </c>
      <c r="C133" s="1">
        <v>296.85000000000002</v>
      </c>
      <c r="D133" s="1" t="s">
        <v>9</v>
      </c>
      <c r="E133" s="1" t="s">
        <v>7</v>
      </c>
      <c r="F133" s="3">
        <f>COUNTIF($A$2:A133,A133)-1</f>
        <v>1</v>
      </c>
      <c r="G133" s="3" t="str">
        <f t="shared" si="4"/>
        <v>Active</v>
      </c>
      <c r="H133" s="3" t="str">
        <f t="shared" si="5"/>
        <v>Sept 2022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 x14ac:dyDescent="0.25">
      <c r="A134" s="1" t="s">
        <v>39</v>
      </c>
      <c r="B134" s="2">
        <v>44900</v>
      </c>
      <c r="C134" s="1">
        <v>972.06</v>
      </c>
      <c r="D134" s="1" t="s">
        <v>15</v>
      </c>
      <c r="E134" s="1" t="s">
        <v>16</v>
      </c>
      <c r="F134" s="3">
        <f>COUNTIF($A$2:A134,A134)-1</f>
        <v>2</v>
      </c>
      <c r="G134" s="3" t="str">
        <f t="shared" si="4"/>
        <v>Active</v>
      </c>
      <c r="H134" s="3" t="str">
        <f t="shared" si="5"/>
        <v>Dec 2022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 x14ac:dyDescent="0.25">
      <c r="A135" s="1" t="s">
        <v>39</v>
      </c>
      <c r="B135" s="2">
        <v>45152</v>
      </c>
      <c r="C135" s="1">
        <v>574.36</v>
      </c>
      <c r="D135" s="1" t="s">
        <v>21</v>
      </c>
      <c r="E135" s="1" t="s">
        <v>16</v>
      </c>
      <c r="F135" s="3">
        <f>COUNTIF($A$2:A135,A135)-1</f>
        <v>3</v>
      </c>
      <c r="G135" s="3" t="str">
        <f t="shared" si="4"/>
        <v>Active</v>
      </c>
      <c r="H135" s="3" t="str">
        <f t="shared" si="5"/>
        <v>Aug 2023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 x14ac:dyDescent="0.25">
      <c r="A136" s="1" t="s">
        <v>39</v>
      </c>
      <c r="B136" s="2">
        <v>45338</v>
      </c>
      <c r="C136" s="1">
        <v>124.91</v>
      </c>
      <c r="D136" s="1" t="s">
        <v>6</v>
      </c>
      <c r="E136" s="1" t="s">
        <v>10</v>
      </c>
      <c r="F136" s="3">
        <f>COUNTIF($A$2:A136,A136)-1</f>
        <v>4</v>
      </c>
      <c r="G136" s="3" t="str">
        <f t="shared" si="4"/>
        <v>Active</v>
      </c>
      <c r="H136" s="3" t="str">
        <f t="shared" si="5"/>
        <v>Feb 2024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 x14ac:dyDescent="0.25">
      <c r="A137" s="1" t="s">
        <v>39</v>
      </c>
      <c r="B137" s="2">
        <v>45433</v>
      </c>
      <c r="C137" s="1">
        <v>126.98</v>
      </c>
      <c r="D137" s="1" t="s">
        <v>9</v>
      </c>
      <c r="E137" s="1" t="s">
        <v>7</v>
      </c>
      <c r="F137" s="3">
        <f>COUNTIF($A$2:A137,A137)-1</f>
        <v>5</v>
      </c>
      <c r="G137" s="3" t="str">
        <f t="shared" si="4"/>
        <v>Power User</v>
      </c>
      <c r="H137" s="3" t="str">
        <f t="shared" si="5"/>
        <v>May 2024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 x14ac:dyDescent="0.25">
      <c r="A138" s="1" t="s">
        <v>37</v>
      </c>
      <c r="B138" s="2">
        <v>44625</v>
      </c>
      <c r="C138" s="1">
        <v>787.32</v>
      </c>
      <c r="D138" s="1" t="s">
        <v>21</v>
      </c>
      <c r="E138" s="1" t="s">
        <v>10</v>
      </c>
      <c r="F138" s="3">
        <f>COUNTIF($A$2:A138,A138)-1</f>
        <v>0</v>
      </c>
      <c r="G138" s="3" t="str">
        <f t="shared" si="4"/>
        <v>New</v>
      </c>
      <c r="H138" s="3" t="str">
        <f t="shared" si="5"/>
        <v>Mar 2022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 x14ac:dyDescent="0.25">
      <c r="A139" s="1" t="s">
        <v>37</v>
      </c>
      <c r="B139" s="2">
        <v>44830</v>
      </c>
      <c r="C139" s="1">
        <v>169.61</v>
      </c>
      <c r="D139" s="1" t="s">
        <v>6</v>
      </c>
      <c r="E139" s="1" t="s">
        <v>16</v>
      </c>
      <c r="F139" s="3">
        <f>COUNTIF($A$2:A139,A139)-1</f>
        <v>1</v>
      </c>
      <c r="G139" s="3" t="str">
        <f t="shared" si="4"/>
        <v>Active</v>
      </c>
      <c r="H139" s="3" t="str">
        <f t="shared" si="5"/>
        <v>Sept 2022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 x14ac:dyDescent="0.25">
      <c r="A140" s="1" t="s">
        <v>37</v>
      </c>
      <c r="B140" s="2">
        <v>44874</v>
      </c>
      <c r="C140" s="1">
        <v>16.88</v>
      </c>
      <c r="D140" s="1" t="s">
        <v>15</v>
      </c>
      <c r="E140" s="1" t="s">
        <v>7</v>
      </c>
      <c r="F140" s="3">
        <f>COUNTIF($A$2:A140,A140)-1</f>
        <v>2</v>
      </c>
      <c r="G140" s="3" t="str">
        <f t="shared" si="4"/>
        <v>Active</v>
      </c>
      <c r="H140" s="3" t="str">
        <f t="shared" si="5"/>
        <v>Nov 2022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 x14ac:dyDescent="0.25">
      <c r="A141" s="1" t="s">
        <v>37</v>
      </c>
      <c r="B141" s="2">
        <v>45181</v>
      </c>
      <c r="C141" s="1">
        <v>914.11</v>
      </c>
      <c r="D141" s="1" t="s">
        <v>15</v>
      </c>
      <c r="E141" s="1" t="s">
        <v>7</v>
      </c>
      <c r="F141" s="3">
        <f>COUNTIF($A$2:A141,A141)-1</f>
        <v>3</v>
      </c>
      <c r="G141" s="3" t="str">
        <f t="shared" si="4"/>
        <v>Active</v>
      </c>
      <c r="H141" s="3" t="str">
        <f t="shared" si="5"/>
        <v>Sept 2023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 x14ac:dyDescent="0.25">
      <c r="A142" s="1" t="s">
        <v>37</v>
      </c>
      <c r="B142" s="2">
        <v>45278</v>
      </c>
      <c r="C142" s="1">
        <v>257.74</v>
      </c>
      <c r="D142" s="1" t="s">
        <v>15</v>
      </c>
      <c r="E142" s="1" t="s">
        <v>13</v>
      </c>
      <c r="F142" s="3">
        <f>COUNTIF($A$2:A142,A142)-1</f>
        <v>4</v>
      </c>
      <c r="G142" s="3" t="str">
        <f t="shared" si="4"/>
        <v>Active</v>
      </c>
      <c r="H142" s="3" t="str">
        <f t="shared" si="5"/>
        <v>Dec 2023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 x14ac:dyDescent="0.25">
      <c r="A143" s="1" t="s">
        <v>37</v>
      </c>
      <c r="B143" s="2">
        <v>45454</v>
      </c>
      <c r="C143" s="1">
        <v>418.49</v>
      </c>
      <c r="D143" s="1" t="s">
        <v>21</v>
      </c>
      <c r="E143" s="1" t="s">
        <v>13</v>
      </c>
      <c r="F143" s="3">
        <f>COUNTIF($A$2:A143,A143)-1</f>
        <v>5</v>
      </c>
      <c r="G143" s="3" t="str">
        <f t="shared" si="4"/>
        <v>Power User</v>
      </c>
      <c r="H143" s="3" t="str">
        <f t="shared" si="5"/>
        <v>Jun 2024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 x14ac:dyDescent="0.25">
      <c r="A144" s="1" t="s">
        <v>63</v>
      </c>
      <c r="B144" s="2">
        <v>44717</v>
      </c>
      <c r="C144" s="1">
        <v>278.64</v>
      </c>
      <c r="D144" s="1" t="s">
        <v>12</v>
      </c>
      <c r="E144" s="1" t="s">
        <v>16</v>
      </c>
      <c r="F144" s="3">
        <f>COUNTIF($A$2:A144,A144)-1</f>
        <v>0</v>
      </c>
      <c r="G144" s="3" t="str">
        <f t="shared" si="4"/>
        <v>New</v>
      </c>
      <c r="H144" s="3" t="str">
        <f t="shared" si="5"/>
        <v>Jun 2022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 x14ac:dyDescent="0.25">
      <c r="A145" s="1" t="s">
        <v>63</v>
      </c>
      <c r="B145" s="2">
        <v>44736</v>
      </c>
      <c r="C145" s="1">
        <v>774.52</v>
      </c>
      <c r="D145" s="1" t="s">
        <v>6</v>
      </c>
      <c r="E145" s="1" t="s">
        <v>7</v>
      </c>
      <c r="F145" s="3">
        <f>COUNTIF($A$2:A145,A145)-1</f>
        <v>1</v>
      </c>
      <c r="G145" s="3" t="str">
        <f t="shared" si="4"/>
        <v>Active</v>
      </c>
      <c r="H145" s="3" t="str">
        <f t="shared" si="5"/>
        <v>Jun 2022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 x14ac:dyDescent="0.25">
      <c r="A146" s="1" t="s">
        <v>63</v>
      </c>
      <c r="B146" s="2">
        <v>44902</v>
      </c>
      <c r="C146" s="1">
        <v>259.26</v>
      </c>
      <c r="D146" s="1" t="s">
        <v>12</v>
      </c>
      <c r="E146" s="1" t="s">
        <v>10</v>
      </c>
      <c r="F146" s="3">
        <f>COUNTIF($A$2:A146,A146)-1</f>
        <v>2</v>
      </c>
      <c r="G146" s="3" t="str">
        <f t="shared" si="4"/>
        <v>Active</v>
      </c>
      <c r="H146" s="3" t="str">
        <f t="shared" si="5"/>
        <v>Dec 2022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 x14ac:dyDescent="0.25">
      <c r="A147" s="1" t="s">
        <v>63</v>
      </c>
      <c r="B147" s="2">
        <v>45382</v>
      </c>
      <c r="C147" s="1">
        <v>662.11</v>
      </c>
      <c r="D147" s="1" t="s">
        <v>21</v>
      </c>
      <c r="E147" s="1" t="s">
        <v>7</v>
      </c>
      <c r="F147" s="3">
        <f>COUNTIF($A$2:A147,A147)-1</f>
        <v>3</v>
      </c>
      <c r="G147" s="3" t="str">
        <f t="shared" si="4"/>
        <v>Active</v>
      </c>
      <c r="H147" s="3" t="str">
        <f t="shared" si="5"/>
        <v>Mar 2024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 x14ac:dyDescent="0.25">
      <c r="A148" s="1" t="s">
        <v>63</v>
      </c>
      <c r="B148" s="2">
        <v>45439</v>
      </c>
      <c r="C148" s="1">
        <v>632.65</v>
      </c>
      <c r="D148" s="1" t="s">
        <v>21</v>
      </c>
      <c r="E148" s="1" t="s">
        <v>16</v>
      </c>
      <c r="F148" s="3">
        <f>COUNTIF($A$2:A148,A148)-1</f>
        <v>4</v>
      </c>
      <c r="G148" s="3" t="str">
        <f t="shared" si="4"/>
        <v>Active</v>
      </c>
      <c r="H148" s="3" t="str">
        <f t="shared" si="5"/>
        <v>May 2024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 x14ac:dyDescent="0.25">
      <c r="A149" s="1" t="s">
        <v>114</v>
      </c>
      <c r="B149" s="2">
        <v>44968</v>
      </c>
      <c r="C149" s="1">
        <v>99.39</v>
      </c>
      <c r="D149" s="1" t="s">
        <v>21</v>
      </c>
      <c r="E149" s="1" t="s">
        <v>7</v>
      </c>
      <c r="F149" s="3">
        <f>COUNTIF($A$2:A149,A149)-1</f>
        <v>0</v>
      </c>
      <c r="G149" s="3" t="str">
        <f t="shared" si="4"/>
        <v>New</v>
      </c>
      <c r="H149" s="3" t="str">
        <f t="shared" si="5"/>
        <v>Feb 2023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 x14ac:dyDescent="0.25">
      <c r="A150" s="1" t="s">
        <v>114</v>
      </c>
      <c r="B150" s="2">
        <v>45127</v>
      </c>
      <c r="C150" s="1">
        <v>954.39</v>
      </c>
      <c r="D150" s="1" t="s">
        <v>15</v>
      </c>
      <c r="E150" s="1" t="s">
        <v>16</v>
      </c>
      <c r="F150" s="3">
        <f>COUNTIF($A$2:A150,A150)-1</f>
        <v>1</v>
      </c>
      <c r="G150" s="3" t="str">
        <f t="shared" si="4"/>
        <v>Active</v>
      </c>
      <c r="H150" s="3" t="str">
        <f t="shared" si="5"/>
        <v>Jul 2023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 x14ac:dyDescent="0.25">
      <c r="A151" s="1" t="s">
        <v>114</v>
      </c>
      <c r="B151" s="2">
        <v>45134</v>
      </c>
      <c r="C151" s="1">
        <v>963.98</v>
      </c>
      <c r="D151" s="1" t="s">
        <v>12</v>
      </c>
      <c r="E151" s="1" t="s">
        <v>7</v>
      </c>
      <c r="F151" s="3">
        <f>COUNTIF($A$2:A151,A151)-1</f>
        <v>2</v>
      </c>
      <c r="G151" s="3" t="str">
        <f t="shared" si="4"/>
        <v>Active</v>
      </c>
      <c r="H151" s="3" t="str">
        <f t="shared" si="5"/>
        <v>Jul 2023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 x14ac:dyDescent="0.25">
      <c r="A152" s="1" t="s">
        <v>69</v>
      </c>
      <c r="B152" s="2">
        <v>44728</v>
      </c>
      <c r="C152" s="1">
        <v>804.18</v>
      </c>
      <c r="D152" s="1" t="s">
        <v>9</v>
      </c>
      <c r="E152" s="1" t="s">
        <v>16</v>
      </c>
      <c r="F152" s="3">
        <f>COUNTIF($A$2:A152,A152)-1</f>
        <v>0</v>
      </c>
      <c r="G152" s="3" t="str">
        <f t="shared" si="4"/>
        <v>New</v>
      </c>
      <c r="H152" s="3" t="str">
        <f t="shared" si="5"/>
        <v>Jun 2022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 x14ac:dyDescent="0.25">
      <c r="A153" s="1" t="s">
        <v>69</v>
      </c>
      <c r="B153" s="2">
        <v>45582</v>
      </c>
      <c r="C153" s="1">
        <v>993.04</v>
      </c>
      <c r="D153" s="1" t="s">
        <v>12</v>
      </c>
      <c r="E153" s="1" t="s">
        <v>16</v>
      </c>
      <c r="F153" s="3">
        <f>COUNTIF($A$2:A153,A153)-1</f>
        <v>1</v>
      </c>
      <c r="G153" s="3" t="str">
        <f t="shared" si="4"/>
        <v>Active</v>
      </c>
      <c r="H153" s="3" t="str">
        <f t="shared" si="5"/>
        <v>Oct 2024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x14ac:dyDescent="0.25">
      <c r="A154" s="1" t="s">
        <v>159</v>
      </c>
      <c r="B154" s="2">
        <v>45554</v>
      </c>
      <c r="C154" s="1">
        <v>473.97</v>
      </c>
      <c r="D154" s="1" t="s">
        <v>15</v>
      </c>
      <c r="E154" s="1" t="s">
        <v>7</v>
      </c>
      <c r="F154" s="3">
        <f>COUNTIF($A$2:A154,A154)-1</f>
        <v>0</v>
      </c>
      <c r="G154" s="3" t="str">
        <f t="shared" si="4"/>
        <v>New</v>
      </c>
      <c r="H154" s="3" t="str">
        <f t="shared" si="5"/>
        <v>Sept 2024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 x14ac:dyDescent="0.25">
      <c r="A155" s="1" t="s">
        <v>99</v>
      </c>
      <c r="B155" s="2">
        <v>44883</v>
      </c>
      <c r="C155" s="1">
        <v>344.24</v>
      </c>
      <c r="D155" s="1" t="s">
        <v>21</v>
      </c>
      <c r="E155" s="1" t="s">
        <v>7</v>
      </c>
      <c r="F155" s="3">
        <f>COUNTIF($A$2:A155,A155)-1</f>
        <v>0</v>
      </c>
      <c r="G155" s="3" t="str">
        <f t="shared" si="4"/>
        <v>New</v>
      </c>
      <c r="H155" s="3" t="str">
        <f t="shared" si="5"/>
        <v>Nov 2022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 x14ac:dyDescent="0.25">
      <c r="A156" s="1" t="s">
        <v>99</v>
      </c>
      <c r="B156" s="2">
        <v>45439</v>
      </c>
      <c r="C156" s="1">
        <v>878.7</v>
      </c>
      <c r="D156" s="1" t="s">
        <v>9</v>
      </c>
      <c r="E156" s="1" t="s">
        <v>13</v>
      </c>
      <c r="F156" s="3">
        <f>COUNTIF($A$2:A156,A156)-1</f>
        <v>1</v>
      </c>
      <c r="G156" s="3" t="str">
        <f t="shared" si="4"/>
        <v>Active</v>
      </c>
      <c r="H156" s="3" t="str">
        <f t="shared" si="5"/>
        <v>May 2024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 x14ac:dyDescent="0.25">
      <c r="A157" s="1" t="s">
        <v>99</v>
      </c>
      <c r="B157" s="2">
        <v>45446</v>
      </c>
      <c r="C157" s="1">
        <v>289.20999999999998</v>
      </c>
      <c r="D157" s="1" t="s">
        <v>6</v>
      </c>
      <c r="E157" s="1" t="s">
        <v>7</v>
      </c>
      <c r="F157" s="3">
        <f>COUNTIF($A$2:A157,A157)-1</f>
        <v>2</v>
      </c>
      <c r="G157" s="3" t="str">
        <f t="shared" si="4"/>
        <v>Active</v>
      </c>
      <c r="H157" s="3" t="str">
        <f t="shared" si="5"/>
        <v>Jun 2024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 x14ac:dyDescent="0.25">
      <c r="A158" s="1" t="s">
        <v>99</v>
      </c>
      <c r="B158" s="2">
        <v>45497</v>
      </c>
      <c r="C158" s="1">
        <v>675.79</v>
      </c>
      <c r="D158" s="1" t="s">
        <v>9</v>
      </c>
      <c r="E158" s="1" t="s">
        <v>16</v>
      </c>
      <c r="F158" s="3">
        <f>COUNTIF($A$2:A158,A158)-1</f>
        <v>3</v>
      </c>
      <c r="G158" s="3" t="str">
        <f t="shared" si="4"/>
        <v>Active</v>
      </c>
      <c r="H158" s="3" t="str">
        <f t="shared" si="5"/>
        <v>Jul 2024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x14ac:dyDescent="0.25">
      <c r="A159" s="1" t="s">
        <v>134</v>
      </c>
      <c r="B159" s="2">
        <v>45106</v>
      </c>
      <c r="C159" s="1">
        <v>893.13</v>
      </c>
      <c r="D159" s="1" t="s">
        <v>21</v>
      </c>
      <c r="E159" s="1" t="s">
        <v>16</v>
      </c>
      <c r="F159" s="3">
        <f>COUNTIF($A$2:A159,A159)-1</f>
        <v>0</v>
      </c>
      <c r="G159" s="3" t="str">
        <f t="shared" si="4"/>
        <v>New</v>
      </c>
      <c r="H159" s="3" t="str">
        <f t="shared" si="5"/>
        <v>Jun 2023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 x14ac:dyDescent="0.25">
      <c r="A160" s="1" t="s">
        <v>143</v>
      </c>
      <c r="B160" s="2">
        <v>45189</v>
      </c>
      <c r="C160" s="1">
        <v>653.46</v>
      </c>
      <c r="D160" s="1" t="s">
        <v>15</v>
      </c>
      <c r="E160" s="1" t="s">
        <v>7</v>
      </c>
      <c r="F160" s="3">
        <f>COUNTIF($A$2:A160,A160)-1</f>
        <v>0</v>
      </c>
      <c r="G160" s="3" t="str">
        <f t="shared" si="4"/>
        <v>New</v>
      </c>
      <c r="H160" s="3" t="str">
        <f t="shared" si="5"/>
        <v>Sept 2023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 x14ac:dyDescent="0.25">
      <c r="A161" s="1" t="s">
        <v>129</v>
      </c>
      <c r="B161" s="2">
        <v>45062</v>
      </c>
      <c r="C161" s="1">
        <v>666.87</v>
      </c>
      <c r="D161" s="1" t="s">
        <v>9</v>
      </c>
      <c r="E161" s="1" t="s">
        <v>13</v>
      </c>
      <c r="F161" s="3">
        <f>COUNTIF($A$2:A161,A161)-1</f>
        <v>0</v>
      </c>
      <c r="G161" s="3" t="str">
        <f t="shared" si="4"/>
        <v>New</v>
      </c>
      <c r="H161" s="3" t="str">
        <f t="shared" si="5"/>
        <v>May 2023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 x14ac:dyDescent="0.25">
      <c r="A162" s="1" t="s">
        <v>129</v>
      </c>
      <c r="B162" s="2">
        <v>45092</v>
      </c>
      <c r="C162" s="1">
        <v>374.04</v>
      </c>
      <c r="D162" s="1" t="s">
        <v>15</v>
      </c>
      <c r="E162" s="1" t="s">
        <v>7</v>
      </c>
      <c r="F162" s="3">
        <f>COUNTIF($A$2:A162,A162)-1</f>
        <v>1</v>
      </c>
      <c r="G162" s="3" t="str">
        <f t="shared" si="4"/>
        <v>Active</v>
      </c>
      <c r="H162" s="3" t="str">
        <f t="shared" si="5"/>
        <v>Jun 2023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 x14ac:dyDescent="0.25">
      <c r="A163" s="1" t="s">
        <v>129</v>
      </c>
      <c r="B163" s="2">
        <v>45153</v>
      </c>
      <c r="C163" s="1">
        <v>106.2</v>
      </c>
      <c r="D163" s="1" t="s">
        <v>15</v>
      </c>
      <c r="E163" s="1" t="s">
        <v>13</v>
      </c>
      <c r="F163" s="3">
        <f>COUNTIF($A$2:A163,A163)-1</f>
        <v>2</v>
      </c>
      <c r="G163" s="3" t="str">
        <f t="shared" si="4"/>
        <v>Active</v>
      </c>
      <c r="H163" s="3" t="str">
        <f t="shared" si="5"/>
        <v>Aug 2023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 x14ac:dyDescent="0.25">
      <c r="A164" s="1" t="s">
        <v>129</v>
      </c>
      <c r="B164" s="2">
        <v>45514</v>
      </c>
      <c r="C164" s="1">
        <v>763.9</v>
      </c>
      <c r="D164" s="1" t="s">
        <v>9</v>
      </c>
      <c r="E164" s="1" t="s">
        <v>10</v>
      </c>
      <c r="F164" s="3">
        <f>COUNTIF($A$2:A164,A164)-1</f>
        <v>3</v>
      </c>
      <c r="G164" s="3" t="str">
        <f t="shared" si="4"/>
        <v>Active</v>
      </c>
      <c r="H164" s="3" t="str">
        <f t="shared" si="5"/>
        <v>Aug 2024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 x14ac:dyDescent="0.25">
      <c r="A165" s="1" t="s">
        <v>56</v>
      </c>
      <c r="B165" s="2">
        <v>44693</v>
      </c>
      <c r="C165" s="1">
        <v>193.01</v>
      </c>
      <c r="D165" s="1" t="s">
        <v>21</v>
      </c>
      <c r="E165" s="1" t="s">
        <v>7</v>
      </c>
      <c r="F165" s="3">
        <f>COUNTIF($A$2:A165,A165)-1</f>
        <v>0</v>
      </c>
      <c r="G165" s="3" t="str">
        <f t="shared" si="4"/>
        <v>New</v>
      </c>
      <c r="H165" s="3" t="str">
        <f t="shared" si="5"/>
        <v>May 2022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 x14ac:dyDescent="0.25">
      <c r="A166" s="1" t="s">
        <v>56</v>
      </c>
      <c r="B166" s="2">
        <v>45091</v>
      </c>
      <c r="C166" s="1">
        <v>102.74</v>
      </c>
      <c r="D166" s="1" t="s">
        <v>9</v>
      </c>
      <c r="E166" s="1" t="s">
        <v>7</v>
      </c>
      <c r="F166" s="3">
        <f>COUNTIF($A$2:A166,A166)-1</f>
        <v>1</v>
      </c>
      <c r="G166" s="3" t="str">
        <f t="shared" si="4"/>
        <v>Active</v>
      </c>
      <c r="H166" s="3" t="str">
        <f t="shared" si="5"/>
        <v>Jun 2023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 x14ac:dyDescent="0.25">
      <c r="A167" s="1" t="s">
        <v>56</v>
      </c>
      <c r="B167" s="2">
        <v>45470</v>
      </c>
      <c r="C167" s="1">
        <v>326.85000000000002</v>
      </c>
      <c r="D167" s="1" t="s">
        <v>12</v>
      </c>
      <c r="E167" s="1" t="s">
        <v>10</v>
      </c>
      <c r="F167" s="3">
        <f>COUNTIF($A$2:A167,A167)-1</f>
        <v>2</v>
      </c>
      <c r="G167" s="3" t="str">
        <f t="shared" si="4"/>
        <v>Active</v>
      </c>
      <c r="H167" s="3" t="str">
        <f t="shared" si="5"/>
        <v>Jun 2024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 x14ac:dyDescent="0.25">
      <c r="A168" s="1" t="s">
        <v>56</v>
      </c>
      <c r="B168" s="2">
        <v>45553</v>
      </c>
      <c r="C168" s="1">
        <v>120.09</v>
      </c>
      <c r="D168" s="1" t="s">
        <v>21</v>
      </c>
      <c r="E168" s="1" t="s">
        <v>10</v>
      </c>
      <c r="F168" s="3">
        <f>COUNTIF($A$2:A168,A168)-1</f>
        <v>3</v>
      </c>
      <c r="G168" s="3" t="str">
        <f t="shared" si="4"/>
        <v>Active</v>
      </c>
      <c r="H168" s="3" t="str">
        <f t="shared" si="5"/>
        <v>Sept 2024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 x14ac:dyDescent="0.25">
      <c r="A169" s="1" t="s">
        <v>56</v>
      </c>
      <c r="B169" s="2">
        <v>45649</v>
      </c>
      <c r="C169" s="1">
        <v>469.06</v>
      </c>
      <c r="D169" s="1" t="s">
        <v>6</v>
      </c>
      <c r="E169" s="1" t="s">
        <v>10</v>
      </c>
      <c r="F169" s="3">
        <f>COUNTIF($A$2:A169,A169)-1</f>
        <v>4</v>
      </c>
      <c r="G169" s="3" t="str">
        <f t="shared" si="4"/>
        <v>Active</v>
      </c>
      <c r="H169" s="3" t="str">
        <f t="shared" si="5"/>
        <v>Dec 2024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 x14ac:dyDescent="0.25">
      <c r="A170" s="1" t="s">
        <v>31</v>
      </c>
      <c r="B170" s="2">
        <v>44614</v>
      </c>
      <c r="C170" s="1">
        <v>437.63</v>
      </c>
      <c r="D170" s="1" t="s">
        <v>15</v>
      </c>
      <c r="E170" s="1" t="s">
        <v>13</v>
      </c>
      <c r="F170" s="3">
        <f>COUNTIF($A$2:A170,A170)-1</f>
        <v>0</v>
      </c>
      <c r="G170" s="3" t="str">
        <f t="shared" si="4"/>
        <v>New</v>
      </c>
      <c r="H170" s="3" t="str">
        <f t="shared" si="5"/>
        <v>Feb 2022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 x14ac:dyDescent="0.25">
      <c r="A171" s="1" t="s">
        <v>31</v>
      </c>
      <c r="B171" s="2">
        <v>44897</v>
      </c>
      <c r="C171" s="1">
        <v>369.99</v>
      </c>
      <c r="D171" s="1" t="s">
        <v>6</v>
      </c>
      <c r="E171" s="1" t="s">
        <v>10</v>
      </c>
      <c r="F171" s="3">
        <f>COUNTIF($A$2:A171,A171)-1</f>
        <v>1</v>
      </c>
      <c r="G171" s="3" t="str">
        <f t="shared" si="4"/>
        <v>Active</v>
      </c>
      <c r="H171" s="3" t="str">
        <f t="shared" si="5"/>
        <v>Dec 2022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 x14ac:dyDescent="0.25">
      <c r="A172" s="1" t="s">
        <v>31</v>
      </c>
      <c r="B172" s="2">
        <v>45524</v>
      </c>
      <c r="C172" s="1">
        <v>709.18</v>
      </c>
      <c r="D172" s="1" t="s">
        <v>12</v>
      </c>
      <c r="E172" s="1" t="s">
        <v>13</v>
      </c>
      <c r="F172" s="3">
        <f>COUNTIF($A$2:A172,A172)-1</f>
        <v>2</v>
      </c>
      <c r="G172" s="3" t="str">
        <f t="shared" si="4"/>
        <v>Active</v>
      </c>
      <c r="H172" s="3" t="str">
        <f t="shared" si="5"/>
        <v>Aug 2024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 x14ac:dyDescent="0.25">
      <c r="A173" s="1" t="s">
        <v>31</v>
      </c>
      <c r="B173" s="2">
        <v>45620</v>
      </c>
      <c r="C173" s="1">
        <v>588.47</v>
      </c>
      <c r="D173" s="1" t="s">
        <v>15</v>
      </c>
      <c r="E173" s="1" t="s">
        <v>16</v>
      </c>
      <c r="F173" s="3">
        <f>COUNTIF($A$2:A173,A173)-1</f>
        <v>3</v>
      </c>
      <c r="G173" s="3" t="str">
        <f t="shared" si="4"/>
        <v>Active</v>
      </c>
      <c r="H173" s="3" t="str">
        <f t="shared" si="5"/>
        <v>Nov 2024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 x14ac:dyDescent="0.25">
      <c r="A174" s="1" t="s">
        <v>115</v>
      </c>
      <c r="B174" s="2">
        <v>44994</v>
      </c>
      <c r="C174" s="1">
        <v>680.79</v>
      </c>
      <c r="D174" s="1" t="s">
        <v>12</v>
      </c>
      <c r="E174" s="1" t="s">
        <v>10</v>
      </c>
      <c r="F174" s="3">
        <f>COUNTIF($A$2:A174,A174)-1</f>
        <v>0</v>
      </c>
      <c r="G174" s="3" t="str">
        <f t="shared" si="4"/>
        <v>New</v>
      </c>
      <c r="H174" s="3" t="str">
        <f t="shared" si="5"/>
        <v>Mar 2023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 x14ac:dyDescent="0.25">
      <c r="A175" s="1" t="s">
        <v>115</v>
      </c>
      <c r="B175" s="2">
        <v>45463</v>
      </c>
      <c r="C175" s="1">
        <v>434.7</v>
      </c>
      <c r="D175" s="1" t="s">
        <v>6</v>
      </c>
      <c r="E175" s="1" t="s">
        <v>7</v>
      </c>
      <c r="F175" s="3">
        <f>COUNTIF($A$2:A175,A175)-1</f>
        <v>1</v>
      </c>
      <c r="G175" s="3" t="str">
        <f t="shared" si="4"/>
        <v>Active</v>
      </c>
      <c r="H175" s="3" t="str">
        <f t="shared" si="5"/>
        <v>Jun 2024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 x14ac:dyDescent="0.25">
      <c r="A176" s="1" t="s">
        <v>148</v>
      </c>
      <c r="B176" s="2">
        <v>45226</v>
      </c>
      <c r="C176" s="1">
        <v>135.79</v>
      </c>
      <c r="D176" s="1" t="s">
        <v>15</v>
      </c>
      <c r="E176" s="1" t="s">
        <v>10</v>
      </c>
      <c r="F176" s="3">
        <f>COUNTIF($A$2:A176,A176)-1</f>
        <v>0</v>
      </c>
      <c r="G176" s="3" t="str">
        <f t="shared" si="4"/>
        <v>New</v>
      </c>
      <c r="H176" s="3" t="str">
        <f t="shared" si="5"/>
        <v>Oct 2023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 x14ac:dyDescent="0.25">
      <c r="A177" s="1" t="s">
        <v>148</v>
      </c>
      <c r="B177" s="2">
        <v>45341</v>
      </c>
      <c r="C177" s="1">
        <v>479.43</v>
      </c>
      <c r="D177" s="1" t="s">
        <v>15</v>
      </c>
      <c r="E177" s="1" t="s">
        <v>16</v>
      </c>
      <c r="F177" s="3">
        <f>COUNTIF($A$2:A177,A177)-1</f>
        <v>1</v>
      </c>
      <c r="G177" s="3" t="str">
        <f t="shared" si="4"/>
        <v>Active</v>
      </c>
      <c r="H177" s="3" t="str">
        <f t="shared" si="5"/>
        <v>Feb 2024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 x14ac:dyDescent="0.25">
      <c r="A178" s="1" t="s">
        <v>66</v>
      </c>
      <c r="B178" s="2">
        <v>44726</v>
      </c>
      <c r="C178" s="1">
        <v>288.13</v>
      </c>
      <c r="D178" s="1" t="s">
        <v>15</v>
      </c>
      <c r="E178" s="1" t="s">
        <v>16</v>
      </c>
      <c r="F178" s="3">
        <f>COUNTIF($A$2:A178,A178)-1</f>
        <v>0</v>
      </c>
      <c r="G178" s="3" t="str">
        <f t="shared" si="4"/>
        <v>New</v>
      </c>
      <c r="H178" s="3" t="str">
        <f t="shared" si="5"/>
        <v>Jun 2022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 x14ac:dyDescent="0.25">
      <c r="A179" s="1" t="s">
        <v>66</v>
      </c>
      <c r="B179" s="2">
        <v>45340</v>
      </c>
      <c r="C179" s="1">
        <v>856.91</v>
      </c>
      <c r="D179" s="1" t="s">
        <v>6</v>
      </c>
      <c r="E179" s="1" t="s">
        <v>7</v>
      </c>
      <c r="F179" s="3">
        <f>COUNTIF($A$2:A179,A179)-1</f>
        <v>1</v>
      </c>
      <c r="G179" s="3" t="str">
        <f t="shared" si="4"/>
        <v>Active</v>
      </c>
      <c r="H179" s="3" t="str">
        <f t="shared" si="5"/>
        <v>Feb 2024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 x14ac:dyDescent="0.25">
      <c r="A180" s="1" t="s">
        <v>66</v>
      </c>
      <c r="B180" s="2">
        <v>45422</v>
      </c>
      <c r="C180" s="1">
        <v>80.48</v>
      </c>
      <c r="D180" s="1" t="s">
        <v>21</v>
      </c>
      <c r="E180" s="1" t="s">
        <v>13</v>
      </c>
      <c r="F180" s="3">
        <f>COUNTIF($A$2:A180,A180)-1</f>
        <v>2</v>
      </c>
      <c r="G180" s="3" t="str">
        <f t="shared" si="4"/>
        <v>Active</v>
      </c>
      <c r="H180" s="3" t="str">
        <f t="shared" si="5"/>
        <v>May 2024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 x14ac:dyDescent="0.25">
      <c r="A181" s="1" t="s">
        <v>66</v>
      </c>
      <c r="B181" s="2">
        <v>45567</v>
      </c>
      <c r="C181" s="1">
        <v>381.12</v>
      </c>
      <c r="D181" s="1" t="s">
        <v>12</v>
      </c>
      <c r="E181" s="1" t="s">
        <v>7</v>
      </c>
      <c r="F181" s="3">
        <f>COUNTIF($A$2:A181,A181)-1</f>
        <v>3</v>
      </c>
      <c r="G181" s="3" t="str">
        <f t="shared" si="4"/>
        <v>Active</v>
      </c>
      <c r="H181" s="3" t="str">
        <f t="shared" si="5"/>
        <v>Oct 2024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 x14ac:dyDescent="0.25">
      <c r="A182" s="1" t="s">
        <v>79</v>
      </c>
      <c r="B182" s="2">
        <v>44767</v>
      </c>
      <c r="C182" s="1">
        <v>317.87</v>
      </c>
      <c r="D182" s="1" t="s">
        <v>21</v>
      </c>
      <c r="E182" s="1" t="s">
        <v>16</v>
      </c>
      <c r="F182" s="3">
        <f>COUNTIF($A$2:A182,A182)-1</f>
        <v>0</v>
      </c>
      <c r="G182" s="3" t="str">
        <f t="shared" si="4"/>
        <v>New</v>
      </c>
      <c r="H182" s="3" t="str">
        <f t="shared" si="5"/>
        <v>Jul 2022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 x14ac:dyDescent="0.25">
      <c r="A183" s="1" t="s">
        <v>79</v>
      </c>
      <c r="B183" s="2">
        <v>44776</v>
      </c>
      <c r="C183" s="1">
        <v>641.17999999999995</v>
      </c>
      <c r="D183" s="1" t="s">
        <v>9</v>
      </c>
      <c r="E183" s="1" t="s">
        <v>16</v>
      </c>
      <c r="F183" s="3">
        <f>COUNTIF($A$2:A183,A183)-1</f>
        <v>1</v>
      </c>
      <c r="G183" s="3" t="str">
        <f t="shared" si="4"/>
        <v>Active</v>
      </c>
      <c r="H183" s="3" t="str">
        <f t="shared" si="5"/>
        <v>Aug 2022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 x14ac:dyDescent="0.25">
      <c r="A184" s="1" t="s">
        <v>79</v>
      </c>
      <c r="B184" s="2">
        <v>44985</v>
      </c>
      <c r="C184" s="1">
        <v>50.37</v>
      </c>
      <c r="D184" s="1" t="s">
        <v>15</v>
      </c>
      <c r="E184" s="1" t="s">
        <v>16</v>
      </c>
      <c r="F184" s="3">
        <f>COUNTIF($A$2:A184,A184)-1</f>
        <v>2</v>
      </c>
      <c r="G184" s="3" t="str">
        <f t="shared" si="4"/>
        <v>Active</v>
      </c>
      <c r="H184" s="3" t="str">
        <f t="shared" si="5"/>
        <v>Feb 2023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 x14ac:dyDescent="0.25">
      <c r="A185" s="1" t="s">
        <v>79</v>
      </c>
      <c r="B185" s="2">
        <v>45052</v>
      </c>
      <c r="C185" s="1">
        <v>888.22</v>
      </c>
      <c r="D185" s="1" t="s">
        <v>12</v>
      </c>
      <c r="E185" s="1" t="s">
        <v>13</v>
      </c>
      <c r="F185" s="3">
        <f>COUNTIF($A$2:A185,A185)-1</f>
        <v>3</v>
      </c>
      <c r="G185" s="3" t="str">
        <f t="shared" si="4"/>
        <v>Active</v>
      </c>
      <c r="H185" s="3" t="str">
        <f t="shared" si="5"/>
        <v>May 2023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 x14ac:dyDescent="0.25">
      <c r="A186" s="1" t="s">
        <v>79</v>
      </c>
      <c r="B186" s="2">
        <v>45131</v>
      </c>
      <c r="C186" s="1">
        <v>929.04</v>
      </c>
      <c r="D186" s="1" t="s">
        <v>9</v>
      </c>
      <c r="E186" s="1" t="s">
        <v>7</v>
      </c>
      <c r="F186" s="3">
        <f>COUNTIF($A$2:A186,A186)-1</f>
        <v>4</v>
      </c>
      <c r="G186" s="3" t="str">
        <f t="shared" si="4"/>
        <v>Active</v>
      </c>
      <c r="H186" s="3" t="str">
        <f t="shared" si="5"/>
        <v>Jul 2023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 x14ac:dyDescent="0.25">
      <c r="A187" s="1" t="s">
        <v>79</v>
      </c>
      <c r="B187" s="2">
        <v>45258</v>
      </c>
      <c r="C187" s="1">
        <v>444.58</v>
      </c>
      <c r="D187" s="1" t="s">
        <v>9</v>
      </c>
      <c r="E187" s="1" t="s">
        <v>13</v>
      </c>
      <c r="F187" s="3">
        <f>COUNTIF($A$2:A187,A187)-1</f>
        <v>5</v>
      </c>
      <c r="G187" s="3" t="str">
        <f t="shared" si="4"/>
        <v>Power User</v>
      </c>
      <c r="H187" s="3" t="str">
        <f t="shared" si="5"/>
        <v>Nov 2023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 x14ac:dyDescent="0.25">
      <c r="A188" s="1" t="s">
        <v>79</v>
      </c>
      <c r="B188" s="2">
        <v>45576</v>
      </c>
      <c r="C188" s="1">
        <v>52.73</v>
      </c>
      <c r="D188" s="1" t="s">
        <v>9</v>
      </c>
      <c r="E188" s="1" t="s">
        <v>7</v>
      </c>
      <c r="F188" s="3">
        <f>COUNTIF($A$2:A188,A188)-1</f>
        <v>6</v>
      </c>
      <c r="G188" s="3" t="str">
        <f t="shared" si="4"/>
        <v>Power User</v>
      </c>
      <c r="H188" s="3" t="str">
        <f t="shared" si="5"/>
        <v>Oct 2024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 x14ac:dyDescent="0.25">
      <c r="A189" s="1" t="s">
        <v>27</v>
      </c>
      <c r="B189" s="2">
        <v>44601</v>
      </c>
      <c r="C189" s="1">
        <v>220.22</v>
      </c>
      <c r="D189" s="1" t="s">
        <v>12</v>
      </c>
      <c r="E189" s="1" t="s">
        <v>10</v>
      </c>
      <c r="F189" s="3">
        <f>COUNTIF($A$2:A189,A189)-1</f>
        <v>0</v>
      </c>
      <c r="G189" s="3" t="str">
        <f t="shared" si="4"/>
        <v>New</v>
      </c>
      <c r="H189" s="3" t="str">
        <f t="shared" si="5"/>
        <v>Feb 2022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 x14ac:dyDescent="0.25">
      <c r="A190" s="1" t="s">
        <v>27</v>
      </c>
      <c r="B190" s="2">
        <v>44643</v>
      </c>
      <c r="C190" s="1">
        <v>611.47</v>
      </c>
      <c r="D190" s="1" t="s">
        <v>15</v>
      </c>
      <c r="E190" s="1" t="s">
        <v>7</v>
      </c>
      <c r="F190" s="3">
        <f>COUNTIF($A$2:A190,A190)-1</f>
        <v>1</v>
      </c>
      <c r="G190" s="3" t="str">
        <f t="shared" si="4"/>
        <v>Active</v>
      </c>
      <c r="H190" s="3" t="str">
        <f t="shared" si="5"/>
        <v>Mar 2022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 x14ac:dyDescent="0.25">
      <c r="A191" s="1" t="s">
        <v>27</v>
      </c>
      <c r="B191" s="2">
        <v>45159</v>
      </c>
      <c r="C191" s="1">
        <v>990.15</v>
      </c>
      <c r="D191" s="1" t="s">
        <v>15</v>
      </c>
      <c r="E191" s="1" t="s">
        <v>7</v>
      </c>
      <c r="F191" s="3">
        <f>COUNTIF($A$2:A191,A191)-1</f>
        <v>2</v>
      </c>
      <c r="G191" s="3" t="str">
        <f t="shared" si="4"/>
        <v>Active</v>
      </c>
      <c r="H191" s="3" t="str">
        <f t="shared" si="5"/>
        <v>Aug 2023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 x14ac:dyDescent="0.25">
      <c r="A192" s="1" t="s">
        <v>33</v>
      </c>
      <c r="B192" s="2">
        <v>44620</v>
      </c>
      <c r="C192" s="1">
        <v>148.1</v>
      </c>
      <c r="D192" s="1" t="s">
        <v>12</v>
      </c>
      <c r="E192" s="1" t="s">
        <v>10</v>
      </c>
      <c r="F192" s="3">
        <f>COUNTIF($A$2:A192,A192)-1</f>
        <v>0</v>
      </c>
      <c r="G192" s="3" t="str">
        <f t="shared" si="4"/>
        <v>New</v>
      </c>
      <c r="H192" s="3" t="str">
        <f t="shared" si="5"/>
        <v>Feb 2022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 x14ac:dyDescent="0.25">
      <c r="A193" s="1" t="s">
        <v>33</v>
      </c>
      <c r="B193" s="2">
        <v>44748</v>
      </c>
      <c r="C193" s="1">
        <v>731.72</v>
      </c>
      <c r="D193" s="1" t="s">
        <v>15</v>
      </c>
      <c r="E193" s="1" t="s">
        <v>10</v>
      </c>
      <c r="F193" s="3">
        <f>COUNTIF($A$2:A193,A193)-1</f>
        <v>1</v>
      </c>
      <c r="G193" s="3" t="str">
        <f t="shared" si="4"/>
        <v>Active</v>
      </c>
      <c r="H193" s="3" t="str">
        <f t="shared" si="5"/>
        <v>Jul 2022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 x14ac:dyDescent="0.25">
      <c r="A194" s="1" t="s">
        <v>33</v>
      </c>
      <c r="B194" s="2">
        <v>44810</v>
      </c>
      <c r="C194" s="1">
        <v>513.48</v>
      </c>
      <c r="D194" s="1" t="s">
        <v>12</v>
      </c>
      <c r="E194" s="1" t="s">
        <v>16</v>
      </c>
      <c r="F194" s="3">
        <f>COUNTIF($A$2:A194,A194)-1</f>
        <v>2</v>
      </c>
      <c r="G194" s="3" t="str">
        <f t="shared" ref="G194:G257" si="6">IF(F194=0,"New",IF(F194&lt;=4,"Active","Power User"))</f>
        <v>Active</v>
      </c>
      <c r="H194" s="3" t="str">
        <f t="shared" ref="H194:H257" si="7">TEXT(B194,"mmm yyyy")</f>
        <v>Sept 2022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 x14ac:dyDescent="0.25">
      <c r="A195" s="1" t="s">
        <v>33</v>
      </c>
      <c r="B195" s="2">
        <v>45027</v>
      </c>
      <c r="C195" s="1">
        <v>663.38</v>
      </c>
      <c r="D195" s="1" t="s">
        <v>21</v>
      </c>
      <c r="E195" s="1" t="s">
        <v>7</v>
      </c>
      <c r="F195" s="3">
        <f>COUNTIF($A$2:A195,A195)-1</f>
        <v>3</v>
      </c>
      <c r="G195" s="3" t="str">
        <f t="shared" si="6"/>
        <v>Active</v>
      </c>
      <c r="H195" s="3" t="str">
        <f t="shared" si="7"/>
        <v>Apr 2023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 x14ac:dyDescent="0.25">
      <c r="A196" s="1" t="s">
        <v>33</v>
      </c>
      <c r="B196" s="2">
        <v>45462</v>
      </c>
      <c r="C196" s="1">
        <v>859.83</v>
      </c>
      <c r="D196" s="1" t="s">
        <v>15</v>
      </c>
      <c r="E196" s="1" t="s">
        <v>7</v>
      </c>
      <c r="F196" s="3">
        <f>COUNTIF($A$2:A196,A196)-1</f>
        <v>4</v>
      </c>
      <c r="G196" s="3" t="str">
        <f t="shared" si="6"/>
        <v>Active</v>
      </c>
      <c r="H196" s="3" t="str">
        <f t="shared" si="7"/>
        <v>Jun 2024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 x14ac:dyDescent="0.25">
      <c r="A197" s="1" t="s">
        <v>17</v>
      </c>
      <c r="B197" s="2">
        <v>44574</v>
      </c>
      <c r="C197" s="1">
        <v>164.46</v>
      </c>
      <c r="D197" s="1" t="s">
        <v>12</v>
      </c>
      <c r="E197" s="1" t="s">
        <v>7</v>
      </c>
      <c r="F197" s="3">
        <f>COUNTIF($A$2:A197,A197)-1</f>
        <v>0</v>
      </c>
      <c r="G197" s="3" t="str">
        <f t="shared" si="6"/>
        <v>New</v>
      </c>
      <c r="H197" s="3" t="str">
        <f t="shared" si="7"/>
        <v>Jan 2022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 x14ac:dyDescent="0.25">
      <c r="A198" s="1" t="s">
        <v>17</v>
      </c>
      <c r="B198" s="2">
        <v>45015</v>
      </c>
      <c r="C198" s="1">
        <v>146.15</v>
      </c>
      <c r="D198" s="1" t="s">
        <v>9</v>
      </c>
      <c r="E198" s="1" t="s">
        <v>10</v>
      </c>
      <c r="F198" s="3">
        <f>COUNTIF($A$2:A198,A198)-1</f>
        <v>1</v>
      </c>
      <c r="G198" s="3" t="str">
        <f t="shared" si="6"/>
        <v>Active</v>
      </c>
      <c r="H198" s="3" t="str">
        <f t="shared" si="7"/>
        <v>Mar 2023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 x14ac:dyDescent="0.25">
      <c r="A199" s="1" t="s">
        <v>17</v>
      </c>
      <c r="B199" s="2">
        <v>45468</v>
      </c>
      <c r="C199" s="1">
        <v>510.2</v>
      </c>
      <c r="D199" s="1" t="s">
        <v>6</v>
      </c>
      <c r="E199" s="1" t="s">
        <v>13</v>
      </c>
      <c r="F199" s="3">
        <f>COUNTIF($A$2:A199,A199)-1</f>
        <v>2</v>
      </c>
      <c r="G199" s="3" t="str">
        <f t="shared" si="6"/>
        <v>Active</v>
      </c>
      <c r="H199" s="3" t="str">
        <f t="shared" si="7"/>
        <v>Jun 2024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 x14ac:dyDescent="0.25">
      <c r="A200" s="1" t="s">
        <v>17</v>
      </c>
      <c r="B200" s="2">
        <v>45615</v>
      </c>
      <c r="C200" s="1">
        <v>631.28</v>
      </c>
      <c r="D200" s="1" t="s">
        <v>15</v>
      </c>
      <c r="E200" s="1" t="s">
        <v>7</v>
      </c>
      <c r="F200" s="3">
        <f>COUNTIF($A$2:A200,A200)-1</f>
        <v>3</v>
      </c>
      <c r="G200" s="3" t="str">
        <f t="shared" si="6"/>
        <v>Active</v>
      </c>
      <c r="H200" s="3" t="str">
        <f t="shared" si="7"/>
        <v>Nov 2024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 x14ac:dyDescent="0.25">
      <c r="A201" s="1" t="s">
        <v>58</v>
      </c>
      <c r="B201" s="2">
        <v>44702</v>
      </c>
      <c r="C201" s="1">
        <v>940.1</v>
      </c>
      <c r="D201" s="1" t="s">
        <v>6</v>
      </c>
      <c r="E201" s="1" t="s">
        <v>7</v>
      </c>
      <c r="F201" s="3">
        <f>COUNTIF($A$2:A201,A201)-1</f>
        <v>0</v>
      </c>
      <c r="G201" s="3" t="str">
        <f t="shared" si="6"/>
        <v>New</v>
      </c>
      <c r="H201" s="3" t="str">
        <f t="shared" si="7"/>
        <v>May 2022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 x14ac:dyDescent="0.25">
      <c r="A202" s="1" t="s">
        <v>58</v>
      </c>
      <c r="B202" s="2">
        <v>44752</v>
      </c>
      <c r="C202" s="1">
        <v>364.88</v>
      </c>
      <c r="D202" s="1" t="s">
        <v>21</v>
      </c>
      <c r="E202" s="1" t="s">
        <v>13</v>
      </c>
      <c r="F202" s="3">
        <f>COUNTIF($A$2:A202,A202)-1</f>
        <v>1</v>
      </c>
      <c r="G202" s="3" t="str">
        <f t="shared" si="6"/>
        <v>Active</v>
      </c>
      <c r="H202" s="3" t="str">
        <f t="shared" si="7"/>
        <v>Jul 2022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 x14ac:dyDescent="0.25">
      <c r="A203" s="1" t="s">
        <v>58</v>
      </c>
      <c r="B203" s="2">
        <v>45027</v>
      </c>
      <c r="C203" s="1">
        <v>265.36</v>
      </c>
      <c r="D203" s="1" t="s">
        <v>9</v>
      </c>
      <c r="E203" s="1" t="s">
        <v>7</v>
      </c>
      <c r="F203" s="3">
        <f>COUNTIF($A$2:A203,A203)-1</f>
        <v>2</v>
      </c>
      <c r="G203" s="3" t="str">
        <f t="shared" si="6"/>
        <v>Active</v>
      </c>
      <c r="H203" s="3" t="str">
        <f t="shared" si="7"/>
        <v>Apr 2023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 x14ac:dyDescent="0.25">
      <c r="A204" s="1" t="s">
        <v>58</v>
      </c>
      <c r="B204" s="2">
        <v>45036</v>
      </c>
      <c r="C204" s="1">
        <v>249.43</v>
      </c>
      <c r="D204" s="1" t="s">
        <v>21</v>
      </c>
      <c r="E204" s="1" t="s">
        <v>10</v>
      </c>
      <c r="F204" s="3">
        <f>COUNTIF($A$2:A204,A204)-1</f>
        <v>3</v>
      </c>
      <c r="G204" s="3" t="str">
        <f t="shared" si="6"/>
        <v>Active</v>
      </c>
      <c r="H204" s="3" t="str">
        <f t="shared" si="7"/>
        <v>Apr 2023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 x14ac:dyDescent="0.25">
      <c r="A205" s="1" t="s">
        <v>58</v>
      </c>
      <c r="B205" s="2">
        <v>45467</v>
      </c>
      <c r="C205" s="1">
        <v>903.53</v>
      </c>
      <c r="D205" s="1" t="s">
        <v>15</v>
      </c>
      <c r="E205" s="1" t="s">
        <v>13</v>
      </c>
      <c r="F205" s="3">
        <f>COUNTIF($A$2:A205,A205)-1</f>
        <v>4</v>
      </c>
      <c r="G205" s="3" t="str">
        <f t="shared" si="6"/>
        <v>Active</v>
      </c>
      <c r="H205" s="3" t="str">
        <f t="shared" si="7"/>
        <v>Jun 2024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 x14ac:dyDescent="0.25">
      <c r="A206" s="1" t="s">
        <v>28</v>
      </c>
      <c r="B206" s="2">
        <v>44602</v>
      </c>
      <c r="C206" s="1">
        <v>190.01</v>
      </c>
      <c r="D206" s="1" t="s">
        <v>9</v>
      </c>
      <c r="E206" s="1" t="s">
        <v>10</v>
      </c>
      <c r="F206" s="3">
        <f>COUNTIF($A$2:A206,A206)-1</f>
        <v>0</v>
      </c>
      <c r="G206" s="3" t="str">
        <f t="shared" si="6"/>
        <v>New</v>
      </c>
      <c r="H206" s="3" t="str">
        <f t="shared" si="7"/>
        <v>Feb 2022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 x14ac:dyDescent="0.25">
      <c r="A207" s="1" t="s">
        <v>28</v>
      </c>
      <c r="B207" s="2">
        <v>44707</v>
      </c>
      <c r="C207" s="1">
        <v>922.66</v>
      </c>
      <c r="D207" s="1" t="s">
        <v>12</v>
      </c>
      <c r="E207" s="1" t="s">
        <v>7</v>
      </c>
      <c r="F207" s="3">
        <f>COUNTIF($A$2:A207,A207)-1</f>
        <v>1</v>
      </c>
      <c r="G207" s="3" t="str">
        <f t="shared" si="6"/>
        <v>Active</v>
      </c>
      <c r="H207" s="3" t="str">
        <f t="shared" si="7"/>
        <v>May 2022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 x14ac:dyDescent="0.25">
      <c r="A208" s="1" t="s">
        <v>125</v>
      </c>
      <c r="B208" s="2">
        <v>45050</v>
      </c>
      <c r="C208" s="1">
        <v>355.72</v>
      </c>
      <c r="D208" s="1" t="s">
        <v>15</v>
      </c>
      <c r="E208" s="1" t="s">
        <v>16</v>
      </c>
      <c r="F208" s="3">
        <f>COUNTIF($A$2:A208,A208)-1</f>
        <v>0</v>
      </c>
      <c r="G208" s="3" t="str">
        <f t="shared" si="6"/>
        <v>New</v>
      </c>
      <c r="H208" s="3" t="str">
        <f t="shared" si="7"/>
        <v>May 2023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 x14ac:dyDescent="0.25">
      <c r="A209" s="1" t="s">
        <v>125</v>
      </c>
      <c r="B209" s="2">
        <v>45124</v>
      </c>
      <c r="C209" s="1">
        <v>941.05</v>
      </c>
      <c r="D209" s="1" t="s">
        <v>12</v>
      </c>
      <c r="E209" s="1" t="s">
        <v>13</v>
      </c>
      <c r="F209" s="3">
        <f>COUNTIF($A$2:A209,A209)-1</f>
        <v>1</v>
      </c>
      <c r="G209" s="3" t="str">
        <f t="shared" si="6"/>
        <v>Active</v>
      </c>
      <c r="H209" s="3" t="str">
        <f t="shared" si="7"/>
        <v>Jul 2023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 x14ac:dyDescent="0.25">
      <c r="A210" s="1" t="s">
        <v>125</v>
      </c>
      <c r="B210" s="2">
        <v>45198</v>
      </c>
      <c r="C210" s="1">
        <v>891.11</v>
      </c>
      <c r="D210" s="1" t="s">
        <v>21</v>
      </c>
      <c r="E210" s="1" t="s">
        <v>10</v>
      </c>
      <c r="F210" s="3">
        <f>COUNTIF($A$2:A210,A210)-1</f>
        <v>2</v>
      </c>
      <c r="G210" s="3" t="str">
        <f t="shared" si="6"/>
        <v>Active</v>
      </c>
      <c r="H210" s="3" t="str">
        <f t="shared" si="7"/>
        <v>Sept 2023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 x14ac:dyDescent="0.25">
      <c r="A211" s="1" t="s">
        <v>125</v>
      </c>
      <c r="B211" s="2">
        <v>45435</v>
      </c>
      <c r="C211" s="1">
        <v>699.77</v>
      </c>
      <c r="D211" s="1" t="s">
        <v>12</v>
      </c>
      <c r="E211" s="1" t="s">
        <v>13</v>
      </c>
      <c r="F211" s="3">
        <f>COUNTIF($A$2:A211,A211)-1</f>
        <v>3</v>
      </c>
      <c r="G211" s="3" t="str">
        <f t="shared" si="6"/>
        <v>Active</v>
      </c>
      <c r="H211" s="3" t="str">
        <f t="shared" si="7"/>
        <v>May 2024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 x14ac:dyDescent="0.25">
      <c r="A212" s="1" t="s">
        <v>125</v>
      </c>
      <c r="B212" s="2">
        <v>45602</v>
      </c>
      <c r="C212" s="1">
        <v>698.79</v>
      </c>
      <c r="D212" s="1" t="s">
        <v>12</v>
      </c>
      <c r="E212" s="1" t="s">
        <v>7</v>
      </c>
      <c r="F212" s="3">
        <f>COUNTIF($A$2:A212,A212)-1</f>
        <v>4</v>
      </c>
      <c r="G212" s="3" t="str">
        <f t="shared" si="6"/>
        <v>Active</v>
      </c>
      <c r="H212" s="3" t="str">
        <f t="shared" si="7"/>
        <v>Nov 2024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 x14ac:dyDescent="0.25">
      <c r="A213" s="1" t="s">
        <v>108</v>
      </c>
      <c r="B213" s="2">
        <v>44933</v>
      </c>
      <c r="C213" s="1">
        <v>247.17</v>
      </c>
      <c r="D213" s="1" t="s">
        <v>6</v>
      </c>
      <c r="E213" s="1" t="s">
        <v>7</v>
      </c>
      <c r="F213" s="3">
        <f>COUNTIF($A$2:A213,A213)-1</f>
        <v>0</v>
      </c>
      <c r="G213" s="3" t="str">
        <f t="shared" si="6"/>
        <v>New</v>
      </c>
      <c r="H213" s="3" t="str">
        <f t="shared" si="7"/>
        <v>Jan 2023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 x14ac:dyDescent="0.25">
      <c r="A214" s="1" t="s">
        <v>108</v>
      </c>
      <c r="B214" s="2">
        <v>44934</v>
      </c>
      <c r="C214" s="1">
        <v>494.56</v>
      </c>
      <c r="D214" s="1" t="s">
        <v>15</v>
      </c>
      <c r="E214" s="1" t="s">
        <v>16</v>
      </c>
      <c r="F214" s="3">
        <f>COUNTIF($A$2:A214,A214)-1</f>
        <v>1</v>
      </c>
      <c r="G214" s="3" t="str">
        <f t="shared" si="6"/>
        <v>Active</v>
      </c>
      <c r="H214" s="3" t="str">
        <f t="shared" si="7"/>
        <v>Jan 2023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 x14ac:dyDescent="0.25">
      <c r="A215" s="1" t="s">
        <v>108</v>
      </c>
      <c r="B215" s="2">
        <v>45231</v>
      </c>
      <c r="C215" s="1">
        <v>772.29</v>
      </c>
      <c r="D215" s="1" t="s">
        <v>15</v>
      </c>
      <c r="E215" s="1" t="s">
        <v>10</v>
      </c>
      <c r="F215" s="3">
        <f>COUNTIF($A$2:A215,A215)-1</f>
        <v>2</v>
      </c>
      <c r="G215" s="3" t="str">
        <f t="shared" si="6"/>
        <v>Active</v>
      </c>
      <c r="H215" s="3" t="str">
        <f t="shared" si="7"/>
        <v>Nov 2023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 x14ac:dyDescent="0.25">
      <c r="A216" s="1" t="s">
        <v>14</v>
      </c>
      <c r="B216" s="2">
        <v>44573</v>
      </c>
      <c r="C216" s="1">
        <v>602.66999999999996</v>
      </c>
      <c r="D216" s="1" t="s">
        <v>15</v>
      </c>
      <c r="E216" s="1" t="s">
        <v>16</v>
      </c>
      <c r="F216" s="3">
        <f>COUNTIF($A$2:A216,A216)-1</f>
        <v>0</v>
      </c>
      <c r="G216" s="3" t="str">
        <f t="shared" si="6"/>
        <v>New</v>
      </c>
      <c r="H216" s="3" t="str">
        <f t="shared" si="7"/>
        <v>Jan 2022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 x14ac:dyDescent="0.25">
      <c r="A217" s="1" t="s">
        <v>14</v>
      </c>
      <c r="B217" s="2">
        <v>44733</v>
      </c>
      <c r="C217" s="1">
        <v>987.02</v>
      </c>
      <c r="D217" s="1" t="s">
        <v>21</v>
      </c>
      <c r="E217" s="1" t="s">
        <v>16</v>
      </c>
      <c r="F217" s="3">
        <f>COUNTIF($A$2:A217,A217)-1</f>
        <v>1</v>
      </c>
      <c r="G217" s="3" t="str">
        <f t="shared" si="6"/>
        <v>Active</v>
      </c>
      <c r="H217" s="3" t="str">
        <f t="shared" si="7"/>
        <v>Jun 2022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 x14ac:dyDescent="0.25">
      <c r="A218" s="1" t="s">
        <v>14</v>
      </c>
      <c r="B218" s="2">
        <v>45060</v>
      </c>
      <c r="C218" s="1">
        <v>610.36</v>
      </c>
      <c r="D218" s="1" t="s">
        <v>9</v>
      </c>
      <c r="E218" s="1" t="s">
        <v>16</v>
      </c>
      <c r="F218" s="3">
        <f>COUNTIF($A$2:A218,A218)-1</f>
        <v>2</v>
      </c>
      <c r="G218" s="3" t="str">
        <f t="shared" si="6"/>
        <v>Active</v>
      </c>
      <c r="H218" s="3" t="str">
        <f t="shared" si="7"/>
        <v>May 2023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 x14ac:dyDescent="0.25">
      <c r="A219" s="1" t="s">
        <v>14</v>
      </c>
      <c r="B219" s="2">
        <v>45269</v>
      </c>
      <c r="C219" s="1">
        <v>414.86</v>
      </c>
      <c r="D219" s="1" t="s">
        <v>6</v>
      </c>
      <c r="E219" s="1" t="s">
        <v>16</v>
      </c>
      <c r="F219" s="3">
        <f>COUNTIF($A$2:A219,A219)-1</f>
        <v>3</v>
      </c>
      <c r="G219" s="3" t="str">
        <f t="shared" si="6"/>
        <v>Active</v>
      </c>
      <c r="H219" s="3" t="str">
        <f t="shared" si="7"/>
        <v>Dec 2023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 x14ac:dyDescent="0.25">
      <c r="A220" s="1" t="s">
        <v>14</v>
      </c>
      <c r="B220" s="2">
        <v>45629</v>
      </c>
      <c r="C220" s="1">
        <v>950.91</v>
      </c>
      <c r="D220" s="1" t="s">
        <v>21</v>
      </c>
      <c r="E220" s="1" t="s">
        <v>10</v>
      </c>
      <c r="F220" s="3">
        <f>COUNTIF($A$2:A220,A220)-1</f>
        <v>4</v>
      </c>
      <c r="G220" s="3" t="str">
        <f t="shared" si="6"/>
        <v>Active</v>
      </c>
      <c r="H220" s="3" t="str">
        <f t="shared" si="7"/>
        <v>Dec 2024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 x14ac:dyDescent="0.25">
      <c r="A221" s="1" t="s">
        <v>14</v>
      </c>
      <c r="B221" s="2">
        <v>45655</v>
      </c>
      <c r="C221" s="1">
        <v>974.65</v>
      </c>
      <c r="D221" s="1" t="s">
        <v>12</v>
      </c>
      <c r="E221" s="1" t="s">
        <v>13</v>
      </c>
      <c r="F221" s="3">
        <f>COUNTIF($A$2:A221,A221)-1</f>
        <v>5</v>
      </c>
      <c r="G221" s="3" t="str">
        <f t="shared" si="6"/>
        <v>Power User</v>
      </c>
      <c r="H221" s="3" t="str">
        <f t="shared" si="7"/>
        <v>Dec 2024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 x14ac:dyDescent="0.25">
      <c r="A222" s="1" t="s">
        <v>84</v>
      </c>
      <c r="B222" s="2">
        <v>44796</v>
      </c>
      <c r="C222" s="1">
        <v>773.26</v>
      </c>
      <c r="D222" s="1" t="s">
        <v>9</v>
      </c>
      <c r="E222" s="1" t="s">
        <v>16</v>
      </c>
      <c r="F222" s="3">
        <f>COUNTIF($A$2:A222,A222)-1</f>
        <v>0</v>
      </c>
      <c r="G222" s="3" t="str">
        <f t="shared" si="6"/>
        <v>New</v>
      </c>
      <c r="H222" s="3" t="str">
        <f t="shared" si="7"/>
        <v>Aug 2022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 x14ac:dyDescent="0.25">
      <c r="A223" s="1" t="s">
        <v>84</v>
      </c>
      <c r="B223" s="2">
        <v>45013</v>
      </c>
      <c r="C223" s="1">
        <v>937.36</v>
      </c>
      <c r="D223" s="1" t="s">
        <v>15</v>
      </c>
      <c r="E223" s="1" t="s">
        <v>16</v>
      </c>
      <c r="F223" s="3">
        <f>COUNTIF($A$2:A223,A223)-1</f>
        <v>1</v>
      </c>
      <c r="G223" s="3" t="str">
        <f t="shared" si="6"/>
        <v>Active</v>
      </c>
      <c r="H223" s="3" t="str">
        <f t="shared" si="7"/>
        <v>Mar 2023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 x14ac:dyDescent="0.25">
      <c r="A224" s="1" t="s">
        <v>84</v>
      </c>
      <c r="B224" s="2">
        <v>45086</v>
      </c>
      <c r="C224" s="1">
        <v>572.63</v>
      </c>
      <c r="D224" s="1" t="s">
        <v>15</v>
      </c>
      <c r="E224" s="1" t="s">
        <v>16</v>
      </c>
      <c r="F224" s="3">
        <f>COUNTIF($A$2:A224,A224)-1</f>
        <v>2</v>
      </c>
      <c r="G224" s="3" t="str">
        <f t="shared" si="6"/>
        <v>Active</v>
      </c>
      <c r="H224" s="3" t="str">
        <f t="shared" si="7"/>
        <v>Jun 2023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 x14ac:dyDescent="0.25">
      <c r="A225" s="1" t="s">
        <v>84</v>
      </c>
      <c r="B225" s="2">
        <v>45111</v>
      </c>
      <c r="C225" s="1">
        <v>507.61</v>
      </c>
      <c r="D225" s="1" t="s">
        <v>21</v>
      </c>
      <c r="E225" s="1" t="s">
        <v>7</v>
      </c>
      <c r="F225" s="3">
        <f>COUNTIF($A$2:A225,A225)-1</f>
        <v>3</v>
      </c>
      <c r="G225" s="3" t="str">
        <f t="shared" si="6"/>
        <v>Active</v>
      </c>
      <c r="H225" s="3" t="str">
        <f t="shared" si="7"/>
        <v>Jul 2023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 x14ac:dyDescent="0.25">
      <c r="A226" s="1" t="s">
        <v>84</v>
      </c>
      <c r="B226" s="2">
        <v>45208</v>
      </c>
      <c r="C226" s="1">
        <v>582.5</v>
      </c>
      <c r="D226" s="1" t="s">
        <v>9</v>
      </c>
      <c r="E226" s="1" t="s">
        <v>10</v>
      </c>
      <c r="F226" s="3">
        <f>COUNTIF($A$2:A226,A226)-1</f>
        <v>4</v>
      </c>
      <c r="G226" s="3" t="str">
        <f t="shared" si="6"/>
        <v>Active</v>
      </c>
      <c r="H226" s="3" t="str">
        <f t="shared" si="7"/>
        <v>Oct 2023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 x14ac:dyDescent="0.25">
      <c r="A227" s="1" t="s">
        <v>84</v>
      </c>
      <c r="B227" s="2">
        <v>45422</v>
      </c>
      <c r="C227" s="1">
        <v>325.79000000000002</v>
      </c>
      <c r="D227" s="1" t="s">
        <v>9</v>
      </c>
      <c r="E227" s="1" t="s">
        <v>16</v>
      </c>
      <c r="F227" s="3">
        <f>COUNTIF($A$2:A227,A227)-1</f>
        <v>5</v>
      </c>
      <c r="G227" s="3" t="str">
        <f t="shared" si="6"/>
        <v>Power User</v>
      </c>
      <c r="H227" s="3" t="str">
        <f t="shared" si="7"/>
        <v>May 2024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 x14ac:dyDescent="0.25">
      <c r="A228" s="1" t="s">
        <v>84</v>
      </c>
      <c r="B228" s="2">
        <v>45453</v>
      </c>
      <c r="C228" s="1">
        <v>808.77</v>
      </c>
      <c r="D228" s="1" t="s">
        <v>21</v>
      </c>
      <c r="E228" s="1" t="s">
        <v>16</v>
      </c>
      <c r="F228" s="3">
        <f>COUNTIF($A$2:A228,A228)-1</f>
        <v>6</v>
      </c>
      <c r="G228" s="3" t="str">
        <f t="shared" si="6"/>
        <v>Power User</v>
      </c>
      <c r="H228" s="3" t="str">
        <f t="shared" si="7"/>
        <v>Jun 2024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 x14ac:dyDescent="0.25">
      <c r="A229" s="1" t="s">
        <v>93</v>
      </c>
      <c r="B229" s="2">
        <v>44857</v>
      </c>
      <c r="C229" s="1">
        <v>893.63</v>
      </c>
      <c r="D229" s="1" t="s">
        <v>9</v>
      </c>
      <c r="E229" s="1" t="s">
        <v>7</v>
      </c>
      <c r="F229" s="3">
        <f>COUNTIF($A$2:A229,A229)-1</f>
        <v>0</v>
      </c>
      <c r="G229" s="3" t="str">
        <f t="shared" si="6"/>
        <v>New</v>
      </c>
      <c r="H229" s="3" t="str">
        <f t="shared" si="7"/>
        <v>Oct 2022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 x14ac:dyDescent="0.25">
      <c r="A230" s="1" t="s">
        <v>93</v>
      </c>
      <c r="B230" s="2">
        <v>45346</v>
      </c>
      <c r="C230" s="1">
        <v>181.47</v>
      </c>
      <c r="D230" s="1" t="s">
        <v>9</v>
      </c>
      <c r="E230" s="1" t="s">
        <v>10</v>
      </c>
      <c r="F230" s="3">
        <f>COUNTIF($A$2:A230,A230)-1</f>
        <v>1</v>
      </c>
      <c r="G230" s="3" t="str">
        <f t="shared" si="6"/>
        <v>Active</v>
      </c>
      <c r="H230" s="3" t="str">
        <f t="shared" si="7"/>
        <v>Feb 2024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 x14ac:dyDescent="0.25">
      <c r="A231" s="1" t="s">
        <v>158</v>
      </c>
      <c r="B231" s="2">
        <v>45514</v>
      </c>
      <c r="C231" s="1">
        <v>622.04</v>
      </c>
      <c r="D231" s="1" t="s">
        <v>21</v>
      </c>
      <c r="E231" s="1" t="s">
        <v>16</v>
      </c>
      <c r="F231" s="3">
        <f>COUNTIF($A$2:A231,A231)-1</f>
        <v>0</v>
      </c>
      <c r="G231" s="3" t="str">
        <f t="shared" si="6"/>
        <v>New</v>
      </c>
      <c r="H231" s="3" t="str">
        <f t="shared" si="7"/>
        <v>Aug 2024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 x14ac:dyDescent="0.25">
      <c r="A232" s="1" t="s">
        <v>147</v>
      </c>
      <c r="B232" s="2">
        <v>45224</v>
      </c>
      <c r="C232" s="1">
        <v>366.59</v>
      </c>
      <c r="D232" s="1" t="s">
        <v>9</v>
      </c>
      <c r="E232" s="1" t="s">
        <v>7</v>
      </c>
      <c r="F232" s="3">
        <f>COUNTIF($A$2:A232,A232)-1</f>
        <v>0</v>
      </c>
      <c r="G232" s="3" t="str">
        <f t="shared" si="6"/>
        <v>New</v>
      </c>
      <c r="H232" s="3" t="str">
        <f t="shared" si="7"/>
        <v>Oct 2023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 x14ac:dyDescent="0.25">
      <c r="A233" s="1" t="s">
        <v>147</v>
      </c>
      <c r="B233" s="2">
        <v>45496</v>
      </c>
      <c r="C233" s="1">
        <v>335.38</v>
      </c>
      <c r="D233" s="1" t="s">
        <v>6</v>
      </c>
      <c r="E233" s="1" t="s">
        <v>7</v>
      </c>
      <c r="F233" s="3">
        <f>COUNTIF($A$2:A233,A233)-1</f>
        <v>1</v>
      </c>
      <c r="G233" s="3" t="str">
        <f t="shared" si="6"/>
        <v>Active</v>
      </c>
      <c r="H233" s="3" t="str">
        <f t="shared" si="7"/>
        <v>Jul 2024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 x14ac:dyDescent="0.25">
      <c r="A234" s="1" t="s">
        <v>45</v>
      </c>
      <c r="B234" s="2">
        <v>44664</v>
      </c>
      <c r="C234" s="1">
        <v>687.39</v>
      </c>
      <c r="D234" s="1" t="s">
        <v>6</v>
      </c>
      <c r="E234" s="1" t="s">
        <v>16</v>
      </c>
      <c r="F234" s="3">
        <f>COUNTIF($A$2:A234,A234)-1</f>
        <v>0</v>
      </c>
      <c r="G234" s="3" t="str">
        <f t="shared" si="6"/>
        <v>New</v>
      </c>
      <c r="H234" s="3" t="str">
        <f t="shared" si="7"/>
        <v>Apr 2022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 x14ac:dyDescent="0.25">
      <c r="A235" s="1" t="s">
        <v>45</v>
      </c>
      <c r="B235" s="2">
        <v>44794</v>
      </c>
      <c r="C235" s="1">
        <v>763.18</v>
      </c>
      <c r="D235" s="1" t="s">
        <v>6</v>
      </c>
      <c r="E235" s="1" t="s">
        <v>10</v>
      </c>
      <c r="F235" s="3">
        <f>COUNTIF($A$2:A235,A235)-1</f>
        <v>1</v>
      </c>
      <c r="G235" s="3" t="str">
        <f t="shared" si="6"/>
        <v>Active</v>
      </c>
      <c r="H235" s="3" t="str">
        <f t="shared" si="7"/>
        <v>Aug 2022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 x14ac:dyDescent="0.25">
      <c r="A236" s="1" t="s">
        <v>45</v>
      </c>
      <c r="B236" s="2">
        <v>44799</v>
      </c>
      <c r="C236" s="1">
        <v>433.27</v>
      </c>
      <c r="D236" s="1" t="s">
        <v>9</v>
      </c>
      <c r="E236" s="1" t="s">
        <v>10</v>
      </c>
      <c r="F236" s="3">
        <f>COUNTIF($A$2:A236,A236)-1</f>
        <v>2</v>
      </c>
      <c r="G236" s="3" t="str">
        <f t="shared" si="6"/>
        <v>Active</v>
      </c>
      <c r="H236" s="3" t="str">
        <f t="shared" si="7"/>
        <v>Aug 2022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 x14ac:dyDescent="0.25">
      <c r="A237" s="1" t="s">
        <v>45</v>
      </c>
      <c r="B237" s="2">
        <v>44878</v>
      </c>
      <c r="C237" s="1">
        <v>229.89</v>
      </c>
      <c r="D237" s="1" t="s">
        <v>12</v>
      </c>
      <c r="E237" s="1" t="s">
        <v>10</v>
      </c>
      <c r="F237" s="3">
        <f>COUNTIF($A$2:A237,A237)-1</f>
        <v>3</v>
      </c>
      <c r="G237" s="3" t="str">
        <f t="shared" si="6"/>
        <v>Active</v>
      </c>
      <c r="H237" s="3" t="str">
        <f t="shared" si="7"/>
        <v>Nov 2022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 x14ac:dyDescent="0.25">
      <c r="A238" s="1" t="s">
        <v>45</v>
      </c>
      <c r="B238" s="2">
        <v>44969</v>
      </c>
      <c r="C238" s="1">
        <v>836.95</v>
      </c>
      <c r="D238" s="1" t="s">
        <v>21</v>
      </c>
      <c r="E238" s="1" t="s">
        <v>16</v>
      </c>
      <c r="F238" s="3">
        <f>COUNTIF($A$2:A238,A238)-1</f>
        <v>4</v>
      </c>
      <c r="G238" s="3" t="str">
        <f t="shared" si="6"/>
        <v>Active</v>
      </c>
      <c r="H238" s="3" t="str">
        <f t="shared" si="7"/>
        <v>Feb 2023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 x14ac:dyDescent="0.25">
      <c r="A239" s="1" t="s">
        <v>45</v>
      </c>
      <c r="B239" s="2">
        <v>45144</v>
      </c>
      <c r="C239" s="1">
        <v>852.63</v>
      </c>
      <c r="D239" s="1" t="s">
        <v>12</v>
      </c>
      <c r="E239" s="1" t="s">
        <v>7</v>
      </c>
      <c r="F239" s="3">
        <f>COUNTIF($A$2:A239,A239)-1</f>
        <v>5</v>
      </c>
      <c r="G239" s="3" t="str">
        <f t="shared" si="6"/>
        <v>Power User</v>
      </c>
      <c r="H239" s="3" t="str">
        <f t="shared" si="7"/>
        <v>Aug 2023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 x14ac:dyDescent="0.25">
      <c r="A240" s="1" t="s">
        <v>45</v>
      </c>
      <c r="B240" s="2">
        <v>45232</v>
      </c>
      <c r="C240" s="1">
        <v>223.66</v>
      </c>
      <c r="D240" s="1" t="s">
        <v>15</v>
      </c>
      <c r="E240" s="1" t="s">
        <v>7</v>
      </c>
      <c r="F240" s="3">
        <f>COUNTIF($A$2:A240,A240)-1</f>
        <v>6</v>
      </c>
      <c r="G240" s="3" t="str">
        <f t="shared" si="6"/>
        <v>Power User</v>
      </c>
      <c r="H240" s="3" t="str">
        <f t="shared" si="7"/>
        <v>Nov 2023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 x14ac:dyDescent="0.25">
      <c r="A241" s="1" t="s">
        <v>45</v>
      </c>
      <c r="B241" s="2">
        <v>45259</v>
      </c>
      <c r="C241" s="1">
        <v>35.1</v>
      </c>
      <c r="D241" s="1" t="s">
        <v>12</v>
      </c>
      <c r="E241" s="1" t="s">
        <v>7</v>
      </c>
      <c r="F241" s="3">
        <f>COUNTIF($A$2:A241,A241)-1</f>
        <v>7</v>
      </c>
      <c r="G241" s="3" t="str">
        <f t="shared" si="6"/>
        <v>Power User</v>
      </c>
      <c r="H241" s="3" t="str">
        <f t="shared" si="7"/>
        <v>Nov 2023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 x14ac:dyDescent="0.25">
      <c r="A242" s="1" t="s">
        <v>45</v>
      </c>
      <c r="B242" s="2">
        <v>45320</v>
      </c>
      <c r="C242" s="1">
        <v>255.25</v>
      </c>
      <c r="D242" s="1" t="s">
        <v>9</v>
      </c>
      <c r="E242" s="1" t="s">
        <v>7</v>
      </c>
      <c r="F242" s="3">
        <f>COUNTIF($A$2:A242,A242)-1</f>
        <v>8</v>
      </c>
      <c r="G242" s="3" t="str">
        <f t="shared" si="6"/>
        <v>Power User</v>
      </c>
      <c r="H242" s="3" t="str">
        <f t="shared" si="7"/>
        <v>Jan 2024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 x14ac:dyDescent="0.25">
      <c r="A243" s="1" t="s">
        <v>45</v>
      </c>
      <c r="B243" s="2">
        <v>45342</v>
      </c>
      <c r="C243" s="1">
        <v>106.86</v>
      </c>
      <c r="D243" s="1" t="s">
        <v>15</v>
      </c>
      <c r="E243" s="1" t="s">
        <v>13</v>
      </c>
      <c r="F243" s="3">
        <f>COUNTIF($A$2:A243,A243)-1</f>
        <v>9</v>
      </c>
      <c r="G243" s="3" t="str">
        <f t="shared" si="6"/>
        <v>Power User</v>
      </c>
      <c r="H243" s="3" t="str">
        <f t="shared" si="7"/>
        <v>Feb 2024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 x14ac:dyDescent="0.25">
      <c r="A244" s="1" t="s">
        <v>45</v>
      </c>
      <c r="B244" s="2">
        <v>45376</v>
      </c>
      <c r="C244" s="1">
        <v>857.92</v>
      </c>
      <c r="D244" s="1" t="s">
        <v>15</v>
      </c>
      <c r="E244" s="1" t="s">
        <v>7</v>
      </c>
      <c r="F244" s="3">
        <f>COUNTIF($A$2:A244,A244)-1</f>
        <v>10</v>
      </c>
      <c r="G244" s="3" t="str">
        <f t="shared" si="6"/>
        <v>Power User</v>
      </c>
      <c r="H244" s="3" t="str">
        <f t="shared" si="7"/>
        <v>Mar 2024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 x14ac:dyDescent="0.25">
      <c r="A245" s="1" t="s">
        <v>45</v>
      </c>
      <c r="B245" s="2">
        <v>45497</v>
      </c>
      <c r="C245" s="1">
        <v>793.66</v>
      </c>
      <c r="D245" s="1" t="s">
        <v>9</v>
      </c>
      <c r="E245" s="1" t="s">
        <v>7</v>
      </c>
      <c r="F245" s="3">
        <f>COUNTIF($A$2:A245,A245)-1</f>
        <v>11</v>
      </c>
      <c r="G245" s="3" t="str">
        <f t="shared" si="6"/>
        <v>Power User</v>
      </c>
      <c r="H245" s="3" t="str">
        <f t="shared" si="7"/>
        <v>Jul 2024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 x14ac:dyDescent="0.25">
      <c r="A246" s="1" t="s">
        <v>67</v>
      </c>
      <c r="B246" s="2">
        <v>44726</v>
      </c>
      <c r="C246" s="1">
        <v>547.27</v>
      </c>
      <c r="D246" s="1" t="s">
        <v>15</v>
      </c>
      <c r="E246" s="1" t="s">
        <v>7</v>
      </c>
      <c r="F246" s="3">
        <f>COUNTIF($A$2:A246,A246)-1</f>
        <v>0</v>
      </c>
      <c r="G246" s="3" t="str">
        <f t="shared" si="6"/>
        <v>New</v>
      </c>
      <c r="H246" s="3" t="str">
        <f t="shared" si="7"/>
        <v>Jun 2022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 x14ac:dyDescent="0.25">
      <c r="A247" s="1" t="s">
        <v>67</v>
      </c>
      <c r="B247" s="2">
        <v>44767</v>
      </c>
      <c r="C247" s="1">
        <v>337.59</v>
      </c>
      <c r="D247" s="1" t="s">
        <v>21</v>
      </c>
      <c r="E247" s="1" t="s">
        <v>13</v>
      </c>
      <c r="F247" s="3">
        <f>COUNTIF($A$2:A247,A247)-1</f>
        <v>1</v>
      </c>
      <c r="G247" s="3" t="str">
        <f t="shared" si="6"/>
        <v>Active</v>
      </c>
      <c r="H247" s="3" t="str">
        <f t="shared" si="7"/>
        <v>Jul 2022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 x14ac:dyDescent="0.25">
      <c r="A248" s="1" t="s">
        <v>67</v>
      </c>
      <c r="B248" s="2">
        <v>44867</v>
      </c>
      <c r="C248" s="1">
        <v>118.95</v>
      </c>
      <c r="D248" s="1" t="s">
        <v>21</v>
      </c>
      <c r="E248" s="1" t="s">
        <v>13</v>
      </c>
      <c r="F248" s="3">
        <f>COUNTIF($A$2:A248,A248)-1</f>
        <v>2</v>
      </c>
      <c r="G248" s="3" t="str">
        <f t="shared" si="6"/>
        <v>Active</v>
      </c>
      <c r="H248" s="3" t="str">
        <f t="shared" si="7"/>
        <v>Nov 2022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 x14ac:dyDescent="0.25">
      <c r="A249" s="1" t="s">
        <v>67</v>
      </c>
      <c r="B249" s="2">
        <v>45454</v>
      </c>
      <c r="C249" s="1">
        <v>990.6</v>
      </c>
      <c r="D249" s="1" t="s">
        <v>12</v>
      </c>
      <c r="E249" s="1" t="s">
        <v>7</v>
      </c>
      <c r="F249" s="3">
        <f>COUNTIF($A$2:A249,A249)-1</f>
        <v>3</v>
      </c>
      <c r="G249" s="3" t="str">
        <f t="shared" si="6"/>
        <v>Active</v>
      </c>
      <c r="H249" s="3" t="str">
        <f t="shared" si="7"/>
        <v>Jun 2024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 x14ac:dyDescent="0.25">
      <c r="A250" s="1" t="s">
        <v>72</v>
      </c>
      <c r="B250" s="2">
        <v>44742</v>
      </c>
      <c r="C250" s="1">
        <v>817.31</v>
      </c>
      <c r="D250" s="1" t="s">
        <v>12</v>
      </c>
      <c r="E250" s="1" t="s">
        <v>13</v>
      </c>
      <c r="F250" s="3">
        <f>COUNTIF($A$2:A250,A250)-1</f>
        <v>0</v>
      </c>
      <c r="G250" s="3" t="str">
        <f t="shared" si="6"/>
        <v>New</v>
      </c>
      <c r="H250" s="3" t="str">
        <f t="shared" si="7"/>
        <v>Jun 2022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 x14ac:dyDescent="0.25">
      <c r="A251" s="1" t="s">
        <v>72</v>
      </c>
      <c r="B251" s="2">
        <v>45338</v>
      </c>
      <c r="C251" s="1">
        <v>55.54</v>
      </c>
      <c r="D251" s="1" t="s">
        <v>15</v>
      </c>
      <c r="E251" s="1" t="s">
        <v>7</v>
      </c>
      <c r="F251" s="3">
        <f>COUNTIF($A$2:A251,A251)-1</f>
        <v>1</v>
      </c>
      <c r="G251" s="3" t="str">
        <f t="shared" si="6"/>
        <v>Active</v>
      </c>
      <c r="H251" s="3" t="str">
        <f t="shared" si="7"/>
        <v>Feb 2024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 x14ac:dyDescent="0.25">
      <c r="A252" s="1" t="s">
        <v>11</v>
      </c>
      <c r="B252" s="2">
        <v>44567</v>
      </c>
      <c r="C252" s="1">
        <v>734.67</v>
      </c>
      <c r="D252" s="1" t="s">
        <v>12</v>
      </c>
      <c r="E252" s="1" t="s">
        <v>13</v>
      </c>
      <c r="F252" s="3">
        <f>COUNTIF($A$2:A252,A252)-1</f>
        <v>0</v>
      </c>
      <c r="G252" s="3" t="str">
        <f t="shared" si="6"/>
        <v>New</v>
      </c>
      <c r="H252" s="3" t="str">
        <f t="shared" si="7"/>
        <v>Jan 2022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 x14ac:dyDescent="0.25">
      <c r="A253" s="1" t="s">
        <v>11</v>
      </c>
      <c r="B253" s="2">
        <v>45358</v>
      </c>
      <c r="C253" s="1">
        <v>638.74</v>
      </c>
      <c r="D253" s="1" t="s">
        <v>9</v>
      </c>
      <c r="E253" s="1" t="s">
        <v>7</v>
      </c>
      <c r="F253" s="3">
        <f>COUNTIF($A$2:A253,A253)-1</f>
        <v>1</v>
      </c>
      <c r="G253" s="3" t="str">
        <f t="shared" si="6"/>
        <v>Active</v>
      </c>
      <c r="H253" s="3" t="str">
        <f t="shared" si="7"/>
        <v>Mar 2024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 x14ac:dyDescent="0.25">
      <c r="A254" s="1" t="s">
        <v>35</v>
      </c>
      <c r="B254" s="2">
        <v>44621</v>
      </c>
      <c r="C254" s="1">
        <v>372.7</v>
      </c>
      <c r="D254" s="1" t="s">
        <v>6</v>
      </c>
      <c r="E254" s="1" t="s">
        <v>10</v>
      </c>
      <c r="F254" s="3">
        <f>COUNTIF($A$2:A254,A254)-1</f>
        <v>0</v>
      </c>
      <c r="G254" s="3" t="str">
        <f t="shared" si="6"/>
        <v>New</v>
      </c>
      <c r="H254" s="3" t="str">
        <f t="shared" si="7"/>
        <v>Mar 2022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 x14ac:dyDescent="0.25">
      <c r="A255" s="1" t="s">
        <v>35</v>
      </c>
      <c r="B255" s="2">
        <v>44637</v>
      </c>
      <c r="C255" s="1">
        <v>596.49</v>
      </c>
      <c r="D255" s="1" t="s">
        <v>21</v>
      </c>
      <c r="E255" s="1" t="s">
        <v>13</v>
      </c>
      <c r="F255" s="3">
        <f>COUNTIF($A$2:A255,A255)-1</f>
        <v>1</v>
      </c>
      <c r="G255" s="3" t="str">
        <f t="shared" si="6"/>
        <v>Active</v>
      </c>
      <c r="H255" s="3" t="str">
        <f t="shared" si="7"/>
        <v>Mar 2022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 x14ac:dyDescent="0.25">
      <c r="A256" s="1" t="s">
        <v>35</v>
      </c>
      <c r="B256" s="2">
        <v>44713</v>
      </c>
      <c r="C256" s="1">
        <v>54.78</v>
      </c>
      <c r="D256" s="1" t="s">
        <v>9</v>
      </c>
      <c r="E256" s="1" t="s">
        <v>7</v>
      </c>
      <c r="F256" s="3">
        <f>COUNTIF($A$2:A256,A256)-1</f>
        <v>2</v>
      </c>
      <c r="G256" s="3" t="str">
        <f t="shared" si="6"/>
        <v>Active</v>
      </c>
      <c r="H256" s="3" t="str">
        <f t="shared" si="7"/>
        <v>Jun 2022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 x14ac:dyDescent="0.25">
      <c r="A257" s="1" t="s">
        <v>35</v>
      </c>
      <c r="B257" s="2">
        <v>45051</v>
      </c>
      <c r="C257" s="1">
        <v>728.7</v>
      </c>
      <c r="D257" s="1" t="s">
        <v>12</v>
      </c>
      <c r="E257" s="1" t="s">
        <v>7</v>
      </c>
      <c r="F257" s="3">
        <f>COUNTIF($A$2:A257,A257)-1</f>
        <v>3</v>
      </c>
      <c r="G257" s="3" t="str">
        <f t="shared" si="6"/>
        <v>Active</v>
      </c>
      <c r="H257" s="3" t="str">
        <f t="shared" si="7"/>
        <v>May 2023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 x14ac:dyDescent="0.25">
      <c r="A258" s="1" t="s">
        <v>35</v>
      </c>
      <c r="B258" s="2">
        <v>45108</v>
      </c>
      <c r="C258" s="1">
        <v>634.83000000000004</v>
      </c>
      <c r="D258" s="1" t="s">
        <v>21</v>
      </c>
      <c r="E258" s="1" t="s">
        <v>16</v>
      </c>
      <c r="F258" s="3">
        <f>COUNTIF($A$2:A258,A258)-1</f>
        <v>4</v>
      </c>
      <c r="G258" s="3" t="str">
        <f t="shared" ref="G258:G321" si="8">IF(F258=0,"New",IF(F258&lt;=4,"Active","Power User"))</f>
        <v>Active</v>
      </c>
      <c r="H258" s="3" t="str">
        <f t="shared" ref="H258:H321" si="9">TEXT(B258,"mmm yyyy")</f>
        <v>Jul 2023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 x14ac:dyDescent="0.25">
      <c r="A259" s="1" t="s">
        <v>35</v>
      </c>
      <c r="B259" s="2">
        <v>45479</v>
      </c>
      <c r="C259" s="1">
        <v>20.73</v>
      </c>
      <c r="D259" s="1" t="s">
        <v>6</v>
      </c>
      <c r="E259" s="1" t="s">
        <v>16</v>
      </c>
      <c r="F259" s="3">
        <f>COUNTIF($A$2:A259,A259)-1</f>
        <v>5</v>
      </c>
      <c r="G259" s="3" t="str">
        <f t="shared" si="8"/>
        <v>Power User</v>
      </c>
      <c r="H259" s="3" t="str">
        <f t="shared" si="9"/>
        <v>Jul 2024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 x14ac:dyDescent="0.25">
      <c r="A260" s="1" t="s">
        <v>35</v>
      </c>
      <c r="B260" s="2">
        <v>45484</v>
      </c>
      <c r="C260" s="1">
        <v>100.37</v>
      </c>
      <c r="D260" s="1" t="s">
        <v>9</v>
      </c>
      <c r="E260" s="1" t="s">
        <v>10</v>
      </c>
      <c r="F260" s="3">
        <f>COUNTIF($A$2:A260,A260)-1</f>
        <v>6</v>
      </c>
      <c r="G260" s="3" t="str">
        <f t="shared" si="8"/>
        <v>Power User</v>
      </c>
      <c r="H260" s="3" t="str">
        <f t="shared" si="9"/>
        <v>Jul 2024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 x14ac:dyDescent="0.25">
      <c r="A261" s="1" t="s">
        <v>150</v>
      </c>
      <c r="B261" s="2">
        <v>45274</v>
      </c>
      <c r="C261" s="1">
        <v>164.87</v>
      </c>
      <c r="D261" s="1" t="s">
        <v>21</v>
      </c>
      <c r="E261" s="1" t="s">
        <v>16</v>
      </c>
      <c r="F261" s="3">
        <f>COUNTIF($A$2:A261,A261)-1</f>
        <v>0</v>
      </c>
      <c r="G261" s="3" t="str">
        <f t="shared" si="8"/>
        <v>New</v>
      </c>
      <c r="H261" s="3" t="str">
        <f t="shared" si="9"/>
        <v>Dec 2023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 x14ac:dyDescent="0.25">
      <c r="A262" s="1" t="s">
        <v>150</v>
      </c>
      <c r="B262" s="2">
        <v>45338</v>
      </c>
      <c r="C262" s="1">
        <v>50.32</v>
      </c>
      <c r="D262" s="1" t="s">
        <v>6</v>
      </c>
      <c r="E262" s="1" t="s">
        <v>13</v>
      </c>
      <c r="F262" s="3">
        <f>COUNTIF($A$2:A262,A262)-1</f>
        <v>1</v>
      </c>
      <c r="G262" s="3" t="str">
        <f t="shared" si="8"/>
        <v>Active</v>
      </c>
      <c r="H262" s="3" t="str">
        <f t="shared" si="9"/>
        <v>Feb 2024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 x14ac:dyDescent="0.25">
      <c r="A263" s="1" t="s">
        <v>150</v>
      </c>
      <c r="B263" s="2">
        <v>45590</v>
      </c>
      <c r="C263" s="1">
        <v>558.32000000000005</v>
      </c>
      <c r="D263" s="1" t="s">
        <v>15</v>
      </c>
      <c r="E263" s="1" t="s">
        <v>7</v>
      </c>
      <c r="F263" s="3">
        <f>COUNTIF($A$2:A263,A263)-1</f>
        <v>2</v>
      </c>
      <c r="G263" s="3" t="str">
        <f t="shared" si="8"/>
        <v>Active</v>
      </c>
      <c r="H263" s="3" t="str">
        <f t="shared" si="9"/>
        <v>Oct 2024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 x14ac:dyDescent="0.25">
      <c r="A264" s="1" t="s">
        <v>140</v>
      </c>
      <c r="B264" s="2">
        <v>45150</v>
      </c>
      <c r="C264" s="1">
        <v>177.8</v>
      </c>
      <c r="D264" s="1" t="s">
        <v>6</v>
      </c>
      <c r="E264" s="1" t="s">
        <v>13</v>
      </c>
      <c r="F264" s="3">
        <f>COUNTIF($A$2:A264,A264)-1</f>
        <v>0</v>
      </c>
      <c r="G264" s="3" t="str">
        <f t="shared" si="8"/>
        <v>New</v>
      </c>
      <c r="H264" s="3" t="str">
        <f t="shared" si="9"/>
        <v>Aug 2023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 x14ac:dyDescent="0.25">
      <c r="A265" s="1" t="s">
        <v>140</v>
      </c>
      <c r="B265" s="2">
        <v>45565</v>
      </c>
      <c r="C265" s="1">
        <v>962.55</v>
      </c>
      <c r="D265" s="1" t="s">
        <v>9</v>
      </c>
      <c r="E265" s="1" t="s">
        <v>10</v>
      </c>
      <c r="F265" s="3">
        <f>COUNTIF($A$2:A265,A265)-1</f>
        <v>1</v>
      </c>
      <c r="G265" s="3" t="str">
        <f t="shared" si="8"/>
        <v>Active</v>
      </c>
      <c r="H265" s="3" t="str">
        <f t="shared" si="9"/>
        <v>Sept 2024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 x14ac:dyDescent="0.25">
      <c r="A266" s="1" t="s">
        <v>59</v>
      </c>
      <c r="B266" s="2">
        <v>44703</v>
      </c>
      <c r="C266" s="1">
        <v>895.88</v>
      </c>
      <c r="D266" s="1" t="s">
        <v>6</v>
      </c>
      <c r="E266" s="1" t="s">
        <v>13</v>
      </c>
      <c r="F266" s="3">
        <f>COUNTIF($A$2:A266,A266)-1</f>
        <v>0</v>
      </c>
      <c r="G266" s="3" t="str">
        <f t="shared" si="8"/>
        <v>New</v>
      </c>
      <c r="H266" s="3" t="str">
        <f t="shared" si="9"/>
        <v>May 2022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 x14ac:dyDescent="0.25">
      <c r="A267" s="1" t="s">
        <v>53</v>
      </c>
      <c r="B267" s="2">
        <v>44684</v>
      </c>
      <c r="C267" s="1">
        <v>318.58999999999997</v>
      </c>
      <c r="D267" s="1" t="s">
        <v>9</v>
      </c>
      <c r="E267" s="1" t="s">
        <v>10</v>
      </c>
      <c r="F267" s="3">
        <f>COUNTIF($A$2:A267,A267)-1</f>
        <v>0</v>
      </c>
      <c r="G267" s="3" t="str">
        <f t="shared" si="8"/>
        <v>New</v>
      </c>
      <c r="H267" s="3" t="str">
        <f t="shared" si="9"/>
        <v>May 2022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 x14ac:dyDescent="0.25">
      <c r="A268" s="1" t="s">
        <v>53</v>
      </c>
      <c r="B268" s="2">
        <v>44873</v>
      </c>
      <c r="C268" s="1">
        <v>819.83</v>
      </c>
      <c r="D268" s="1" t="s">
        <v>21</v>
      </c>
      <c r="E268" s="1" t="s">
        <v>7</v>
      </c>
      <c r="F268" s="3">
        <f>COUNTIF($A$2:A268,A268)-1</f>
        <v>1</v>
      </c>
      <c r="G268" s="3" t="str">
        <f t="shared" si="8"/>
        <v>Active</v>
      </c>
      <c r="H268" s="3" t="str">
        <f t="shared" si="9"/>
        <v>Nov 2022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 x14ac:dyDescent="0.25">
      <c r="A269" s="1" t="s">
        <v>53</v>
      </c>
      <c r="B269" s="2">
        <v>45158</v>
      </c>
      <c r="C269" s="1">
        <v>618.86</v>
      </c>
      <c r="D269" s="1" t="s">
        <v>12</v>
      </c>
      <c r="E269" s="1" t="s">
        <v>7</v>
      </c>
      <c r="F269" s="3">
        <f>COUNTIF($A$2:A269,A269)-1</f>
        <v>2</v>
      </c>
      <c r="G269" s="3" t="str">
        <f t="shared" si="8"/>
        <v>Active</v>
      </c>
      <c r="H269" s="3" t="str">
        <f t="shared" si="9"/>
        <v>Aug 2023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 x14ac:dyDescent="0.25">
      <c r="A270" s="1" t="s">
        <v>53</v>
      </c>
      <c r="B270" s="2">
        <v>45550</v>
      </c>
      <c r="C270" s="1">
        <v>562.82000000000005</v>
      </c>
      <c r="D270" s="1" t="s">
        <v>9</v>
      </c>
      <c r="E270" s="1" t="s">
        <v>16</v>
      </c>
      <c r="F270" s="3">
        <f>COUNTIF($A$2:A270,A270)-1</f>
        <v>3</v>
      </c>
      <c r="G270" s="3" t="str">
        <f t="shared" si="8"/>
        <v>Active</v>
      </c>
      <c r="H270" s="3" t="str">
        <f t="shared" si="9"/>
        <v>Sept 2024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 x14ac:dyDescent="0.25">
      <c r="A271" s="1" t="s">
        <v>101</v>
      </c>
      <c r="B271" s="2">
        <v>44887</v>
      </c>
      <c r="C271" s="1">
        <v>523.6</v>
      </c>
      <c r="D271" s="1" t="s">
        <v>12</v>
      </c>
      <c r="E271" s="1" t="s">
        <v>7</v>
      </c>
      <c r="F271" s="3">
        <f>COUNTIF($A$2:A271,A271)-1</f>
        <v>0</v>
      </c>
      <c r="G271" s="3" t="str">
        <f t="shared" si="8"/>
        <v>New</v>
      </c>
      <c r="H271" s="3" t="str">
        <f t="shared" si="9"/>
        <v>Nov 2022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 x14ac:dyDescent="0.25">
      <c r="A272" s="1" t="s">
        <v>101</v>
      </c>
      <c r="B272" s="2">
        <v>45239</v>
      </c>
      <c r="C272" s="1">
        <v>61.16</v>
      </c>
      <c r="D272" s="1" t="s">
        <v>12</v>
      </c>
      <c r="E272" s="1" t="s">
        <v>10</v>
      </c>
      <c r="F272" s="3">
        <f>COUNTIF($A$2:A272,A272)-1</f>
        <v>1</v>
      </c>
      <c r="G272" s="3" t="str">
        <f t="shared" si="8"/>
        <v>Active</v>
      </c>
      <c r="H272" s="3" t="str">
        <f t="shared" si="9"/>
        <v>Nov 2023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 x14ac:dyDescent="0.25">
      <c r="A273" s="1" t="s">
        <v>101</v>
      </c>
      <c r="B273" s="2">
        <v>45303</v>
      </c>
      <c r="C273" s="1">
        <v>558.80999999999995</v>
      </c>
      <c r="D273" s="1" t="s">
        <v>15</v>
      </c>
      <c r="E273" s="1" t="s">
        <v>10</v>
      </c>
      <c r="F273" s="3">
        <f>COUNTIF($A$2:A273,A273)-1</f>
        <v>2</v>
      </c>
      <c r="G273" s="3" t="str">
        <f t="shared" si="8"/>
        <v>Active</v>
      </c>
      <c r="H273" s="3" t="str">
        <f t="shared" si="9"/>
        <v>Jan 2024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 x14ac:dyDescent="0.25">
      <c r="A274" s="1" t="s">
        <v>101</v>
      </c>
      <c r="B274" s="2">
        <v>45531</v>
      </c>
      <c r="C274" s="1">
        <v>947.78</v>
      </c>
      <c r="D274" s="1" t="s">
        <v>21</v>
      </c>
      <c r="E274" s="1" t="s">
        <v>16</v>
      </c>
      <c r="F274" s="3">
        <f>COUNTIF($A$2:A274,A274)-1</f>
        <v>3</v>
      </c>
      <c r="G274" s="3" t="str">
        <f t="shared" si="8"/>
        <v>Active</v>
      </c>
      <c r="H274" s="3" t="str">
        <f t="shared" si="9"/>
        <v>Aug 2024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 x14ac:dyDescent="0.25">
      <c r="A275" s="1" t="s">
        <v>151</v>
      </c>
      <c r="B275" s="2">
        <v>45288</v>
      </c>
      <c r="C275" s="1">
        <v>663.6</v>
      </c>
      <c r="D275" s="1" t="s">
        <v>15</v>
      </c>
      <c r="E275" s="1" t="s">
        <v>16</v>
      </c>
      <c r="F275" s="3">
        <f>COUNTIF($A$2:A275,A275)-1</f>
        <v>0</v>
      </c>
      <c r="G275" s="3" t="str">
        <f t="shared" si="8"/>
        <v>New</v>
      </c>
      <c r="H275" s="3" t="str">
        <f t="shared" si="9"/>
        <v>Dec 2023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 x14ac:dyDescent="0.25">
      <c r="A276" s="1" t="s">
        <v>151</v>
      </c>
      <c r="B276" s="2">
        <v>45560</v>
      </c>
      <c r="C276" s="1">
        <v>127.63</v>
      </c>
      <c r="D276" s="1" t="s">
        <v>12</v>
      </c>
      <c r="E276" s="1" t="s">
        <v>16</v>
      </c>
      <c r="F276" s="3">
        <f>COUNTIF($A$2:A276,A276)-1</f>
        <v>1</v>
      </c>
      <c r="G276" s="3" t="str">
        <f t="shared" si="8"/>
        <v>Active</v>
      </c>
      <c r="H276" s="3" t="str">
        <f t="shared" si="9"/>
        <v>Sept 2024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 x14ac:dyDescent="0.25">
      <c r="A277" s="1" t="s">
        <v>151</v>
      </c>
      <c r="B277" s="2">
        <v>45564</v>
      </c>
      <c r="C277" s="1">
        <v>587.54</v>
      </c>
      <c r="D277" s="1" t="s">
        <v>9</v>
      </c>
      <c r="E277" s="1" t="s">
        <v>7</v>
      </c>
      <c r="F277" s="3">
        <f>COUNTIF($A$2:A277,A277)-1</f>
        <v>2</v>
      </c>
      <c r="G277" s="3" t="str">
        <f t="shared" si="8"/>
        <v>Active</v>
      </c>
      <c r="H277" s="3" t="str">
        <f t="shared" si="9"/>
        <v>Sept 2024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 x14ac:dyDescent="0.25">
      <c r="A278" s="1" t="s">
        <v>107</v>
      </c>
      <c r="B278" s="2">
        <v>44930</v>
      </c>
      <c r="C278" s="1">
        <v>909.18</v>
      </c>
      <c r="D278" s="1" t="s">
        <v>21</v>
      </c>
      <c r="E278" s="1" t="s">
        <v>13</v>
      </c>
      <c r="F278" s="3">
        <f>COUNTIF($A$2:A278,A278)-1</f>
        <v>0</v>
      </c>
      <c r="G278" s="3" t="str">
        <f t="shared" si="8"/>
        <v>New</v>
      </c>
      <c r="H278" s="3" t="str">
        <f t="shared" si="9"/>
        <v>Jan 2023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 x14ac:dyDescent="0.25">
      <c r="A279" s="1" t="s">
        <v>107</v>
      </c>
      <c r="B279" s="2">
        <v>45412</v>
      </c>
      <c r="C279" s="1">
        <v>109.77</v>
      </c>
      <c r="D279" s="1" t="s">
        <v>6</v>
      </c>
      <c r="E279" s="1" t="s">
        <v>16</v>
      </c>
      <c r="F279" s="3">
        <f>COUNTIF($A$2:A279,A279)-1</f>
        <v>1</v>
      </c>
      <c r="G279" s="3" t="str">
        <f t="shared" si="8"/>
        <v>Active</v>
      </c>
      <c r="H279" s="3" t="str">
        <f t="shared" si="9"/>
        <v>Apr 2024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 x14ac:dyDescent="0.25">
      <c r="A280" s="1" t="s">
        <v>107</v>
      </c>
      <c r="B280" s="2">
        <v>45467</v>
      </c>
      <c r="C280" s="1">
        <v>112.09</v>
      </c>
      <c r="D280" s="1" t="s">
        <v>6</v>
      </c>
      <c r="E280" s="1" t="s">
        <v>16</v>
      </c>
      <c r="F280" s="3">
        <f>COUNTIF($A$2:A280,A280)-1</f>
        <v>2</v>
      </c>
      <c r="G280" s="3" t="str">
        <f t="shared" si="8"/>
        <v>Active</v>
      </c>
      <c r="H280" s="3" t="str">
        <f t="shared" si="9"/>
        <v>Jun 2024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 x14ac:dyDescent="0.25">
      <c r="A281" s="1" t="s">
        <v>116</v>
      </c>
      <c r="B281" s="2">
        <v>44995</v>
      </c>
      <c r="C281" s="1">
        <v>26.42</v>
      </c>
      <c r="D281" s="1" t="s">
        <v>21</v>
      </c>
      <c r="E281" s="1" t="s">
        <v>16</v>
      </c>
      <c r="F281" s="3">
        <f>COUNTIF($A$2:A281,A281)-1</f>
        <v>0</v>
      </c>
      <c r="G281" s="3" t="str">
        <f t="shared" si="8"/>
        <v>New</v>
      </c>
      <c r="H281" s="3" t="str">
        <f t="shared" si="9"/>
        <v>Mar 2023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 x14ac:dyDescent="0.25">
      <c r="A282" s="1" t="s">
        <v>116</v>
      </c>
      <c r="B282" s="2">
        <v>45537</v>
      </c>
      <c r="C282" s="1">
        <v>755.84</v>
      </c>
      <c r="D282" s="1" t="s">
        <v>12</v>
      </c>
      <c r="E282" s="1" t="s">
        <v>13</v>
      </c>
      <c r="F282" s="3">
        <f>COUNTIF($A$2:A282,A282)-1</f>
        <v>1</v>
      </c>
      <c r="G282" s="3" t="str">
        <f t="shared" si="8"/>
        <v>Active</v>
      </c>
      <c r="H282" s="3" t="str">
        <f t="shared" si="9"/>
        <v>Sept 2024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 x14ac:dyDescent="0.25">
      <c r="A283" s="1" t="s">
        <v>116</v>
      </c>
      <c r="B283" s="2">
        <v>45604</v>
      </c>
      <c r="C283" s="1">
        <v>460</v>
      </c>
      <c r="D283" s="1" t="s">
        <v>9</v>
      </c>
      <c r="E283" s="1" t="s">
        <v>13</v>
      </c>
      <c r="F283" s="3">
        <f>COUNTIF($A$2:A283,A283)-1</f>
        <v>2</v>
      </c>
      <c r="G283" s="3" t="str">
        <f t="shared" si="8"/>
        <v>Active</v>
      </c>
      <c r="H283" s="3" t="str">
        <f t="shared" si="9"/>
        <v>Nov 2024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 x14ac:dyDescent="0.25">
      <c r="A284" s="1" t="s">
        <v>76</v>
      </c>
      <c r="B284" s="2">
        <v>44765</v>
      </c>
      <c r="C284" s="1">
        <v>864.47</v>
      </c>
      <c r="D284" s="1" t="s">
        <v>15</v>
      </c>
      <c r="E284" s="1" t="s">
        <v>10</v>
      </c>
      <c r="F284" s="3">
        <f>COUNTIF($A$2:A284,A284)-1</f>
        <v>0</v>
      </c>
      <c r="G284" s="3" t="str">
        <f t="shared" si="8"/>
        <v>New</v>
      </c>
      <c r="H284" s="3" t="str">
        <f t="shared" si="9"/>
        <v>Jul 2022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 x14ac:dyDescent="0.25">
      <c r="A285" s="1" t="s">
        <v>76</v>
      </c>
      <c r="B285" s="2">
        <v>44772</v>
      </c>
      <c r="C285" s="1">
        <v>732.31</v>
      </c>
      <c r="D285" s="1" t="s">
        <v>15</v>
      </c>
      <c r="E285" s="1" t="s">
        <v>16</v>
      </c>
      <c r="F285" s="3">
        <f>COUNTIF($A$2:A285,A285)-1</f>
        <v>1</v>
      </c>
      <c r="G285" s="3" t="str">
        <f t="shared" si="8"/>
        <v>Active</v>
      </c>
      <c r="H285" s="3" t="str">
        <f t="shared" si="9"/>
        <v>Jul 2022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 x14ac:dyDescent="0.25">
      <c r="A286" s="1" t="s">
        <v>76</v>
      </c>
      <c r="B286" s="2">
        <v>45170</v>
      </c>
      <c r="C286" s="1">
        <v>700.05</v>
      </c>
      <c r="D286" s="1" t="s">
        <v>9</v>
      </c>
      <c r="E286" s="1" t="s">
        <v>7</v>
      </c>
      <c r="F286" s="3">
        <f>COUNTIF($A$2:A286,A286)-1</f>
        <v>2</v>
      </c>
      <c r="G286" s="3" t="str">
        <f t="shared" si="8"/>
        <v>Active</v>
      </c>
      <c r="H286" s="3" t="str">
        <f t="shared" si="9"/>
        <v>Sept 2023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 x14ac:dyDescent="0.25">
      <c r="A287" s="1" t="s">
        <v>76</v>
      </c>
      <c r="B287" s="2">
        <v>45222</v>
      </c>
      <c r="C287" s="1">
        <v>824.37</v>
      </c>
      <c r="D287" s="1" t="s">
        <v>9</v>
      </c>
      <c r="E287" s="1" t="s">
        <v>13</v>
      </c>
      <c r="F287" s="3">
        <f>COUNTIF($A$2:A287,A287)-1</f>
        <v>3</v>
      </c>
      <c r="G287" s="3" t="str">
        <f t="shared" si="8"/>
        <v>Active</v>
      </c>
      <c r="H287" s="3" t="str">
        <f t="shared" si="9"/>
        <v>Oct 2023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 x14ac:dyDescent="0.25">
      <c r="A288" s="1" t="s">
        <v>76</v>
      </c>
      <c r="B288" s="2">
        <v>45227</v>
      </c>
      <c r="C288" s="1">
        <v>527.02</v>
      </c>
      <c r="D288" s="1" t="s">
        <v>6</v>
      </c>
      <c r="E288" s="1" t="s">
        <v>7</v>
      </c>
      <c r="F288" s="3">
        <f>COUNTIF($A$2:A288,A288)-1</f>
        <v>4</v>
      </c>
      <c r="G288" s="3" t="str">
        <f t="shared" si="8"/>
        <v>Active</v>
      </c>
      <c r="H288" s="3" t="str">
        <f t="shared" si="9"/>
        <v>Oct 2023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 x14ac:dyDescent="0.25">
      <c r="A289" s="1" t="s">
        <v>76</v>
      </c>
      <c r="B289" s="2">
        <v>45241</v>
      </c>
      <c r="C289" s="1">
        <v>545.23</v>
      </c>
      <c r="D289" s="1" t="s">
        <v>21</v>
      </c>
      <c r="E289" s="1" t="s">
        <v>7</v>
      </c>
      <c r="F289" s="3">
        <f>COUNTIF($A$2:A289,A289)-1</f>
        <v>5</v>
      </c>
      <c r="G289" s="3" t="str">
        <f t="shared" si="8"/>
        <v>Power User</v>
      </c>
      <c r="H289" s="3" t="str">
        <f t="shared" si="9"/>
        <v>Nov 2023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 x14ac:dyDescent="0.25">
      <c r="A290" s="1" t="s">
        <v>76</v>
      </c>
      <c r="B290" s="2">
        <v>45507</v>
      </c>
      <c r="C290" s="1">
        <v>554.03</v>
      </c>
      <c r="D290" s="1" t="s">
        <v>21</v>
      </c>
      <c r="E290" s="1" t="s">
        <v>13</v>
      </c>
      <c r="F290" s="3">
        <f>COUNTIF($A$2:A290,A290)-1</f>
        <v>6</v>
      </c>
      <c r="G290" s="3" t="str">
        <f t="shared" si="8"/>
        <v>Power User</v>
      </c>
      <c r="H290" s="3" t="str">
        <f t="shared" si="9"/>
        <v>Aug 2024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 x14ac:dyDescent="0.25">
      <c r="A291" s="1" t="s">
        <v>76</v>
      </c>
      <c r="B291" s="2">
        <v>45530</v>
      </c>
      <c r="C291" s="1">
        <v>376.94</v>
      </c>
      <c r="D291" s="1" t="s">
        <v>12</v>
      </c>
      <c r="E291" s="1" t="s">
        <v>16</v>
      </c>
      <c r="F291" s="3">
        <f>COUNTIF($A$2:A291,A291)-1</f>
        <v>7</v>
      </c>
      <c r="G291" s="3" t="str">
        <f t="shared" si="8"/>
        <v>Power User</v>
      </c>
      <c r="H291" s="3" t="str">
        <f t="shared" si="9"/>
        <v>Aug 2024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 x14ac:dyDescent="0.25">
      <c r="A292" s="1" t="s">
        <v>104</v>
      </c>
      <c r="B292" s="2">
        <v>44920</v>
      </c>
      <c r="C292" s="1">
        <v>46.52</v>
      </c>
      <c r="D292" s="1" t="s">
        <v>6</v>
      </c>
      <c r="E292" s="1" t="s">
        <v>13</v>
      </c>
      <c r="F292" s="3">
        <f>COUNTIF($A$2:A292,A292)-1</f>
        <v>0</v>
      </c>
      <c r="G292" s="3" t="str">
        <f t="shared" si="8"/>
        <v>New</v>
      </c>
      <c r="H292" s="3" t="str">
        <f t="shared" si="9"/>
        <v>Dec 2022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 x14ac:dyDescent="0.25">
      <c r="A293" s="1" t="s">
        <v>104</v>
      </c>
      <c r="B293" s="2">
        <v>45569</v>
      </c>
      <c r="C293" s="1">
        <v>231.36</v>
      </c>
      <c r="D293" s="1" t="s">
        <v>6</v>
      </c>
      <c r="E293" s="1" t="s">
        <v>16</v>
      </c>
      <c r="F293" s="3">
        <f>COUNTIF($A$2:A293,A293)-1</f>
        <v>1</v>
      </c>
      <c r="G293" s="3" t="str">
        <f t="shared" si="8"/>
        <v>Active</v>
      </c>
      <c r="H293" s="3" t="str">
        <f t="shared" si="9"/>
        <v>Oct 2024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 x14ac:dyDescent="0.25">
      <c r="A294" s="1" t="s">
        <v>74</v>
      </c>
      <c r="B294" s="2">
        <v>44749</v>
      </c>
      <c r="C294" s="1">
        <v>773.56</v>
      </c>
      <c r="D294" s="1" t="s">
        <v>12</v>
      </c>
      <c r="E294" s="1" t="s">
        <v>13</v>
      </c>
      <c r="F294" s="3">
        <f>COUNTIF($A$2:A294,A294)-1</f>
        <v>0</v>
      </c>
      <c r="G294" s="3" t="str">
        <f t="shared" si="8"/>
        <v>New</v>
      </c>
      <c r="H294" s="3" t="str">
        <f t="shared" si="9"/>
        <v>Jul 2022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 x14ac:dyDescent="0.25">
      <c r="A295" s="1" t="s">
        <v>74</v>
      </c>
      <c r="B295" s="2">
        <v>45540</v>
      </c>
      <c r="C295" s="1">
        <v>92.67</v>
      </c>
      <c r="D295" s="1" t="s">
        <v>15</v>
      </c>
      <c r="E295" s="1" t="s">
        <v>10</v>
      </c>
      <c r="F295" s="3">
        <f>COUNTIF($A$2:A295,A295)-1</f>
        <v>1</v>
      </c>
      <c r="G295" s="3" t="str">
        <f t="shared" si="8"/>
        <v>Active</v>
      </c>
      <c r="H295" s="3" t="str">
        <f t="shared" si="9"/>
        <v>Sept 2024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 x14ac:dyDescent="0.25">
      <c r="A296" s="1" t="s">
        <v>123</v>
      </c>
      <c r="B296" s="2">
        <v>45040</v>
      </c>
      <c r="C296" s="1">
        <v>901.41</v>
      </c>
      <c r="D296" s="1" t="s">
        <v>6</v>
      </c>
      <c r="E296" s="1" t="s">
        <v>16</v>
      </c>
      <c r="F296" s="3">
        <f>COUNTIF($A$2:A296,A296)-1</f>
        <v>0</v>
      </c>
      <c r="G296" s="3" t="str">
        <f t="shared" si="8"/>
        <v>New</v>
      </c>
      <c r="H296" s="3" t="str">
        <f t="shared" si="9"/>
        <v>Apr 2023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 x14ac:dyDescent="0.25">
      <c r="A297" s="1" t="s">
        <v>123</v>
      </c>
      <c r="B297" s="2">
        <v>45476</v>
      </c>
      <c r="C297" s="1">
        <v>395.31</v>
      </c>
      <c r="D297" s="1" t="s">
        <v>21</v>
      </c>
      <c r="E297" s="1" t="s">
        <v>16</v>
      </c>
      <c r="F297" s="3">
        <f>COUNTIF($A$2:A297,A297)-1</f>
        <v>1</v>
      </c>
      <c r="G297" s="3" t="str">
        <f t="shared" si="8"/>
        <v>Active</v>
      </c>
      <c r="H297" s="3" t="str">
        <f t="shared" si="9"/>
        <v>Jul 2024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 x14ac:dyDescent="0.25">
      <c r="A298" s="1" t="s">
        <v>123</v>
      </c>
      <c r="B298" s="2">
        <v>45493</v>
      </c>
      <c r="C298" s="1">
        <v>635.52</v>
      </c>
      <c r="D298" s="1" t="s">
        <v>12</v>
      </c>
      <c r="E298" s="1" t="s">
        <v>7</v>
      </c>
      <c r="F298" s="3">
        <f>COUNTIF($A$2:A298,A298)-1</f>
        <v>2</v>
      </c>
      <c r="G298" s="3" t="str">
        <f t="shared" si="8"/>
        <v>Active</v>
      </c>
      <c r="H298" s="3" t="str">
        <f t="shared" si="9"/>
        <v>Jul 2024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 x14ac:dyDescent="0.25">
      <c r="A299" s="1" t="s">
        <v>123</v>
      </c>
      <c r="B299" s="2">
        <v>45529</v>
      </c>
      <c r="C299" s="1">
        <v>380.53</v>
      </c>
      <c r="D299" s="1" t="s">
        <v>9</v>
      </c>
      <c r="E299" s="1" t="s">
        <v>10</v>
      </c>
      <c r="F299" s="3">
        <f>COUNTIF($A$2:A299,A299)-1</f>
        <v>3</v>
      </c>
      <c r="G299" s="3" t="str">
        <f t="shared" si="8"/>
        <v>Active</v>
      </c>
      <c r="H299" s="3" t="str">
        <f t="shared" si="9"/>
        <v>Aug 2024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 x14ac:dyDescent="0.25">
      <c r="A300" s="1" t="s">
        <v>153</v>
      </c>
      <c r="B300" s="2">
        <v>45368</v>
      </c>
      <c r="C300" s="1">
        <v>629.6</v>
      </c>
      <c r="D300" s="1" t="s">
        <v>12</v>
      </c>
      <c r="E300" s="1" t="s">
        <v>10</v>
      </c>
      <c r="F300" s="3">
        <f>COUNTIF($A$2:A300,A300)-1</f>
        <v>0</v>
      </c>
      <c r="G300" s="3" t="str">
        <f t="shared" si="8"/>
        <v>New</v>
      </c>
      <c r="H300" s="3" t="str">
        <f t="shared" si="9"/>
        <v>Mar 2024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 x14ac:dyDescent="0.25">
      <c r="A301" s="1" t="s">
        <v>153</v>
      </c>
      <c r="B301" s="2">
        <v>45449</v>
      </c>
      <c r="C301" s="1">
        <v>185.67</v>
      </c>
      <c r="D301" s="1" t="s">
        <v>15</v>
      </c>
      <c r="E301" s="1" t="s">
        <v>13</v>
      </c>
      <c r="F301" s="3">
        <f>COUNTIF($A$2:A301,A301)-1</f>
        <v>1</v>
      </c>
      <c r="G301" s="3" t="str">
        <f t="shared" si="8"/>
        <v>Active</v>
      </c>
      <c r="H301" s="3" t="str">
        <f t="shared" si="9"/>
        <v>Jun 2024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 x14ac:dyDescent="0.25">
      <c r="A302" s="1" t="s">
        <v>153</v>
      </c>
      <c r="B302" s="2">
        <v>45598</v>
      </c>
      <c r="C302" s="1">
        <v>527.87</v>
      </c>
      <c r="D302" s="1" t="s">
        <v>15</v>
      </c>
      <c r="E302" s="1" t="s">
        <v>7</v>
      </c>
      <c r="F302" s="3">
        <f>COUNTIF($A$2:A302,A302)-1</f>
        <v>2</v>
      </c>
      <c r="G302" s="3" t="str">
        <f t="shared" si="8"/>
        <v>Active</v>
      </c>
      <c r="H302" s="3" t="str">
        <f t="shared" si="9"/>
        <v>Nov 2024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 x14ac:dyDescent="0.25">
      <c r="A303" s="1" t="s">
        <v>40</v>
      </c>
      <c r="B303" s="2">
        <v>44644</v>
      </c>
      <c r="C303" s="1">
        <v>178.82</v>
      </c>
      <c r="D303" s="1" t="s">
        <v>6</v>
      </c>
      <c r="E303" s="1" t="s">
        <v>10</v>
      </c>
      <c r="F303" s="3">
        <f>COUNTIF($A$2:A303,A303)-1</f>
        <v>0</v>
      </c>
      <c r="G303" s="3" t="str">
        <f t="shared" si="8"/>
        <v>New</v>
      </c>
      <c r="H303" s="3" t="str">
        <f t="shared" si="9"/>
        <v>Mar 2022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 x14ac:dyDescent="0.25">
      <c r="A304" s="1" t="s">
        <v>40</v>
      </c>
      <c r="B304" s="2">
        <v>45022</v>
      </c>
      <c r="C304" s="1">
        <v>122.34</v>
      </c>
      <c r="D304" s="1" t="s">
        <v>21</v>
      </c>
      <c r="E304" s="1" t="s">
        <v>7</v>
      </c>
      <c r="F304" s="3">
        <f>COUNTIF($A$2:A304,A304)-1</f>
        <v>1</v>
      </c>
      <c r="G304" s="3" t="str">
        <f t="shared" si="8"/>
        <v>Active</v>
      </c>
      <c r="H304" s="3" t="str">
        <f t="shared" si="9"/>
        <v>Apr 2023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 x14ac:dyDescent="0.25">
      <c r="A305" s="1" t="s">
        <v>40</v>
      </c>
      <c r="B305" s="2">
        <v>45082</v>
      </c>
      <c r="C305" s="1">
        <v>850.73</v>
      </c>
      <c r="D305" s="1" t="s">
        <v>9</v>
      </c>
      <c r="E305" s="1" t="s">
        <v>10</v>
      </c>
      <c r="F305" s="3">
        <f>COUNTIF($A$2:A305,A305)-1</f>
        <v>2</v>
      </c>
      <c r="G305" s="3" t="str">
        <f t="shared" si="8"/>
        <v>Active</v>
      </c>
      <c r="H305" s="3" t="str">
        <f t="shared" si="9"/>
        <v>Jun 2023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 x14ac:dyDescent="0.25">
      <c r="A306" s="1" t="s">
        <v>38</v>
      </c>
      <c r="B306" s="2">
        <v>44635</v>
      </c>
      <c r="C306" s="1">
        <v>519.09</v>
      </c>
      <c r="D306" s="1" t="s">
        <v>9</v>
      </c>
      <c r="E306" s="1" t="s">
        <v>16</v>
      </c>
      <c r="F306" s="3">
        <f>COUNTIF($A$2:A306,A306)-1</f>
        <v>0</v>
      </c>
      <c r="G306" s="3" t="str">
        <f t="shared" si="8"/>
        <v>New</v>
      </c>
      <c r="H306" s="3" t="str">
        <f t="shared" si="9"/>
        <v>Mar 2022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 x14ac:dyDescent="0.25">
      <c r="A307" s="1" t="s">
        <v>38</v>
      </c>
      <c r="B307" s="2">
        <v>44870</v>
      </c>
      <c r="C307" s="1">
        <v>235.66</v>
      </c>
      <c r="D307" s="1" t="s">
        <v>6</v>
      </c>
      <c r="E307" s="1" t="s">
        <v>16</v>
      </c>
      <c r="F307" s="3">
        <f>COUNTIF($A$2:A307,A307)-1</f>
        <v>1</v>
      </c>
      <c r="G307" s="3" t="str">
        <f t="shared" si="8"/>
        <v>Active</v>
      </c>
      <c r="H307" s="3" t="str">
        <f t="shared" si="9"/>
        <v>Nov 2022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 x14ac:dyDescent="0.25">
      <c r="A308" s="1" t="s">
        <v>38</v>
      </c>
      <c r="B308" s="2">
        <v>45341</v>
      </c>
      <c r="C308" s="1">
        <v>706.62</v>
      </c>
      <c r="D308" s="1" t="s">
        <v>15</v>
      </c>
      <c r="E308" s="1" t="s">
        <v>10</v>
      </c>
      <c r="F308" s="3">
        <f>COUNTIF($A$2:A308,A308)-1</f>
        <v>2</v>
      </c>
      <c r="G308" s="3" t="str">
        <f t="shared" si="8"/>
        <v>Active</v>
      </c>
      <c r="H308" s="3" t="str">
        <f t="shared" si="9"/>
        <v>Feb 2024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 x14ac:dyDescent="0.25">
      <c r="A309" s="1" t="s">
        <v>44</v>
      </c>
      <c r="B309" s="2">
        <v>44664</v>
      </c>
      <c r="C309" s="1">
        <v>106.7</v>
      </c>
      <c r="D309" s="1" t="s">
        <v>6</v>
      </c>
      <c r="E309" s="1" t="s">
        <v>7</v>
      </c>
      <c r="F309" s="3">
        <f>COUNTIF($A$2:A309,A309)-1</f>
        <v>0</v>
      </c>
      <c r="G309" s="3" t="str">
        <f t="shared" si="8"/>
        <v>New</v>
      </c>
      <c r="H309" s="3" t="str">
        <f t="shared" si="9"/>
        <v>Apr 2022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 x14ac:dyDescent="0.25">
      <c r="A310" s="1" t="s">
        <v>44</v>
      </c>
      <c r="B310" s="2">
        <v>45507</v>
      </c>
      <c r="C310" s="1">
        <v>66.98</v>
      </c>
      <c r="D310" s="1" t="s">
        <v>12</v>
      </c>
      <c r="E310" s="1" t="s">
        <v>7</v>
      </c>
      <c r="F310" s="3">
        <f>COUNTIF($A$2:A310,A310)-1</f>
        <v>1</v>
      </c>
      <c r="G310" s="3" t="str">
        <f t="shared" si="8"/>
        <v>Active</v>
      </c>
      <c r="H310" s="3" t="str">
        <f t="shared" si="9"/>
        <v>Aug 2024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 x14ac:dyDescent="0.25">
      <c r="A311" s="1" t="s">
        <v>149</v>
      </c>
      <c r="B311" s="2">
        <v>45266</v>
      </c>
      <c r="C311" s="1">
        <v>837.62</v>
      </c>
      <c r="D311" s="1" t="s">
        <v>9</v>
      </c>
      <c r="E311" s="1" t="s">
        <v>16</v>
      </c>
      <c r="F311" s="3">
        <f>COUNTIF($A$2:A311,A311)-1</f>
        <v>0</v>
      </c>
      <c r="G311" s="3" t="str">
        <f t="shared" si="8"/>
        <v>New</v>
      </c>
      <c r="H311" s="3" t="str">
        <f t="shared" si="9"/>
        <v>Dec 2023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 x14ac:dyDescent="0.25">
      <c r="A312" s="1" t="s">
        <v>149</v>
      </c>
      <c r="B312" s="2">
        <v>45466</v>
      </c>
      <c r="C312" s="1">
        <v>757</v>
      </c>
      <c r="D312" s="1" t="s">
        <v>21</v>
      </c>
      <c r="E312" s="1" t="s">
        <v>10</v>
      </c>
      <c r="F312" s="3">
        <f>COUNTIF($A$2:A312,A312)-1</f>
        <v>1</v>
      </c>
      <c r="G312" s="3" t="str">
        <f t="shared" si="8"/>
        <v>Active</v>
      </c>
      <c r="H312" s="3" t="str">
        <f t="shared" si="9"/>
        <v>Jun 2024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 x14ac:dyDescent="0.25">
      <c r="A313" s="1" t="s">
        <v>149</v>
      </c>
      <c r="B313" s="2">
        <v>45484</v>
      </c>
      <c r="C313" s="1">
        <v>326.12</v>
      </c>
      <c r="D313" s="1" t="s">
        <v>12</v>
      </c>
      <c r="E313" s="1" t="s">
        <v>7</v>
      </c>
      <c r="F313" s="3">
        <f>COUNTIF($A$2:A313,A313)-1</f>
        <v>2</v>
      </c>
      <c r="G313" s="3" t="str">
        <f t="shared" si="8"/>
        <v>Active</v>
      </c>
      <c r="H313" s="3" t="str">
        <f t="shared" si="9"/>
        <v>Jul 2024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 x14ac:dyDescent="0.25">
      <c r="A314" s="1" t="s">
        <v>65</v>
      </c>
      <c r="B314" s="2">
        <v>44723</v>
      </c>
      <c r="C314" s="1">
        <v>363.19</v>
      </c>
      <c r="D314" s="1" t="s">
        <v>9</v>
      </c>
      <c r="E314" s="1" t="s">
        <v>10</v>
      </c>
      <c r="F314" s="3">
        <f>COUNTIF($A$2:A314,A314)-1</f>
        <v>0</v>
      </c>
      <c r="G314" s="3" t="str">
        <f t="shared" si="8"/>
        <v>New</v>
      </c>
      <c r="H314" s="3" t="str">
        <f t="shared" si="9"/>
        <v>Jun 2022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 x14ac:dyDescent="0.25">
      <c r="A315" s="1" t="s">
        <v>65</v>
      </c>
      <c r="B315" s="2">
        <v>45070</v>
      </c>
      <c r="C315" s="1">
        <v>694.98</v>
      </c>
      <c r="D315" s="1" t="s">
        <v>6</v>
      </c>
      <c r="E315" s="1" t="s">
        <v>16</v>
      </c>
      <c r="F315" s="3">
        <f>COUNTIF($A$2:A315,A315)-1</f>
        <v>1</v>
      </c>
      <c r="G315" s="3" t="str">
        <f t="shared" si="8"/>
        <v>Active</v>
      </c>
      <c r="H315" s="3" t="str">
        <f t="shared" si="9"/>
        <v>May 2023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 x14ac:dyDescent="0.25">
      <c r="A316" s="1" t="s">
        <v>65</v>
      </c>
      <c r="B316" s="2">
        <v>45430</v>
      </c>
      <c r="C316" s="1">
        <v>33.04</v>
      </c>
      <c r="D316" s="1" t="s">
        <v>6</v>
      </c>
      <c r="E316" s="1" t="s">
        <v>7</v>
      </c>
      <c r="F316" s="3">
        <f>COUNTIF($A$2:A316,A316)-1</f>
        <v>2</v>
      </c>
      <c r="G316" s="3" t="str">
        <f t="shared" si="8"/>
        <v>Active</v>
      </c>
      <c r="H316" s="3" t="str">
        <f t="shared" si="9"/>
        <v>May 2024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 x14ac:dyDescent="0.25">
      <c r="A317" s="1" t="s">
        <v>43</v>
      </c>
      <c r="B317" s="2">
        <v>44656</v>
      </c>
      <c r="C317" s="1">
        <v>311.57</v>
      </c>
      <c r="D317" s="1" t="s">
        <v>6</v>
      </c>
      <c r="E317" s="1" t="s">
        <v>10</v>
      </c>
      <c r="F317" s="3">
        <f>COUNTIF($A$2:A317,A317)-1</f>
        <v>0</v>
      </c>
      <c r="G317" s="3" t="str">
        <f t="shared" si="8"/>
        <v>New</v>
      </c>
      <c r="H317" s="3" t="str">
        <f t="shared" si="9"/>
        <v>Apr 2022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 x14ac:dyDescent="0.25">
      <c r="A318" s="1" t="s">
        <v>43</v>
      </c>
      <c r="B318" s="2">
        <v>45420</v>
      </c>
      <c r="C318" s="1">
        <v>686.18</v>
      </c>
      <c r="D318" s="1" t="s">
        <v>15</v>
      </c>
      <c r="E318" s="1" t="s">
        <v>13</v>
      </c>
      <c r="F318" s="3">
        <f>COUNTIF($A$2:A318,A318)-1</f>
        <v>1</v>
      </c>
      <c r="G318" s="3" t="str">
        <f t="shared" si="8"/>
        <v>Active</v>
      </c>
      <c r="H318" s="3" t="str">
        <f t="shared" si="9"/>
        <v>May 2024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 x14ac:dyDescent="0.25">
      <c r="A319" s="1" t="s">
        <v>54</v>
      </c>
      <c r="B319" s="2">
        <v>44685</v>
      </c>
      <c r="C319" s="1">
        <v>524.87</v>
      </c>
      <c r="D319" s="1" t="s">
        <v>15</v>
      </c>
      <c r="E319" s="1" t="s">
        <v>10</v>
      </c>
      <c r="F319" s="3">
        <f>COUNTIF($A$2:A319,A319)-1</f>
        <v>0</v>
      </c>
      <c r="G319" s="3" t="str">
        <f t="shared" si="8"/>
        <v>New</v>
      </c>
      <c r="H319" s="3" t="str">
        <f t="shared" si="9"/>
        <v>May 2022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 x14ac:dyDescent="0.25">
      <c r="A320" s="1" t="s">
        <v>54</v>
      </c>
      <c r="B320" s="2">
        <v>44809</v>
      </c>
      <c r="C320" s="1">
        <v>321.20999999999998</v>
      </c>
      <c r="D320" s="1" t="s">
        <v>9</v>
      </c>
      <c r="E320" s="1" t="s">
        <v>16</v>
      </c>
      <c r="F320" s="3">
        <f>COUNTIF($A$2:A320,A320)-1</f>
        <v>1</v>
      </c>
      <c r="G320" s="3" t="str">
        <f t="shared" si="8"/>
        <v>Active</v>
      </c>
      <c r="H320" s="3" t="str">
        <f t="shared" si="9"/>
        <v>Sept 2022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 x14ac:dyDescent="0.25">
      <c r="A321" s="1" t="s">
        <v>54</v>
      </c>
      <c r="B321" s="2">
        <v>44929</v>
      </c>
      <c r="C321" s="1">
        <v>285.86</v>
      </c>
      <c r="D321" s="1" t="s">
        <v>21</v>
      </c>
      <c r="E321" s="1" t="s">
        <v>10</v>
      </c>
      <c r="F321" s="3">
        <f>COUNTIF($A$2:A321,A321)-1</f>
        <v>2</v>
      </c>
      <c r="G321" s="3" t="str">
        <f t="shared" si="8"/>
        <v>Active</v>
      </c>
      <c r="H321" s="3" t="str">
        <f t="shared" si="9"/>
        <v>Jan 2023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 x14ac:dyDescent="0.25">
      <c r="A322" s="1" t="s">
        <v>62</v>
      </c>
      <c r="B322" s="2">
        <v>44715</v>
      </c>
      <c r="C322" s="1">
        <v>394.79</v>
      </c>
      <c r="D322" s="1" t="s">
        <v>15</v>
      </c>
      <c r="E322" s="1" t="s">
        <v>10</v>
      </c>
      <c r="F322" s="3">
        <f>COUNTIF($A$2:A322,A322)-1</f>
        <v>0</v>
      </c>
      <c r="G322" s="3" t="str">
        <f t="shared" ref="G322:G385" si="10">IF(F322=0,"New",IF(F322&lt;=4,"Active","Power User"))</f>
        <v>New</v>
      </c>
      <c r="H322" s="3" t="str">
        <f t="shared" ref="H322:H385" si="11">TEXT(B322,"mmm yyyy")</f>
        <v>Jun 2022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 x14ac:dyDescent="0.25">
      <c r="A323" s="1" t="s">
        <v>62</v>
      </c>
      <c r="B323" s="2">
        <v>45413</v>
      </c>
      <c r="C323" s="1">
        <v>28.04</v>
      </c>
      <c r="D323" s="1" t="s">
        <v>12</v>
      </c>
      <c r="E323" s="1" t="s">
        <v>16</v>
      </c>
      <c r="F323" s="3">
        <f>COUNTIF($A$2:A323,A323)-1</f>
        <v>1</v>
      </c>
      <c r="G323" s="3" t="str">
        <f t="shared" si="10"/>
        <v>Active</v>
      </c>
      <c r="H323" s="3" t="str">
        <f t="shared" si="11"/>
        <v>May 2024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 x14ac:dyDescent="0.25">
      <c r="A324" s="1" t="s">
        <v>62</v>
      </c>
      <c r="B324" s="2">
        <v>45524</v>
      </c>
      <c r="C324" s="1">
        <v>90.54</v>
      </c>
      <c r="D324" s="1" t="s">
        <v>12</v>
      </c>
      <c r="E324" s="1" t="s">
        <v>16</v>
      </c>
      <c r="F324" s="3">
        <f>COUNTIF($A$2:A324,A324)-1</f>
        <v>2</v>
      </c>
      <c r="G324" s="3" t="str">
        <f t="shared" si="10"/>
        <v>Active</v>
      </c>
      <c r="H324" s="3" t="str">
        <f t="shared" si="11"/>
        <v>Aug 2024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 x14ac:dyDescent="0.25">
      <c r="A325" s="1" t="s">
        <v>64</v>
      </c>
      <c r="B325" s="2">
        <v>44720</v>
      </c>
      <c r="C325" s="1">
        <v>830.45</v>
      </c>
      <c r="D325" s="1" t="s">
        <v>21</v>
      </c>
      <c r="E325" s="1" t="s">
        <v>13</v>
      </c>
      <c r="F325" s="3">
        <f>COUNTIF($A$2:A325,A325)-1</f>
        <v>0</v>
      </c>
      <c r="G325" s="3" t="str">
        <f t="shared" si="10"/>
        <v>New</v>
      </c>
      <c r="H325" s="3" t="str">
        <f t="shared" si="11"/>
        <v>Jun 2022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 x14ac:dyDescent="0.25">
      <c r="A326" s="1" t="s">
        <v>64</v>
      </c>
      <c r="B326" s="2">
        <v>45273</v>
      </c>
      <c r="C326" s="1">
        <v>181.56</v>
      </c>
      <c r="D326" s="1" t="s">
        <v>12</v>
      </c>
      <c r="E326" s="1" t="s">
        <v>7</v>
      </c>
      <c r="F326" s="3">
        <f>COUNTIF($A$2:A326,A326)-1</f>
        <v>1</v>
      </c>
      <c r="G326" s="3" t="str">
        <f t="shared" si="10"/>
        <v>Active</v>
      </c>
      <c r="H326" s="3" t="str">
        <f t="shared" si="11"/>
        <v>Dec 2023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 x14ac:dyDescent="0.25">
      <c r="A327" s="1" t="s">
        <v>64</v>
      </c>
      <c r="B327" s="2">
        <v>45401</v>
      </c>
      <c r="C327" s="1">
        <v>550.16</v>
      </c>
      <c r="D327" s="1" t="s">
        <v>9</v>
      </c>
      <c r="E327" s="1" t="s">
        <v>16</v>
      </c>
      <c r="F327" s="3">
        <f>COUNTIF($A$2:A327,A327)-1</f>
        <v>2</v>
      </c>
      <c r="G327" s="3" t="str">
        <f t="shared" si="10"/>
        <v>Active</v>
      </c>
      <c r="H327" s="3" t="str">
        <f t="shared" si="11"/>
        <v>Apr 2024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 x14ac:dyDescent="0.25">
      <c r="A328" s="1" t="s">
        <v>102</v>
      </c>
      <c r="B328" s="2">
        <v>44901</v>
      </c>
      <c r="C328" s="1">
        <v>962.82</v>
      </c>
      <c r="D328" s="1" t="s">
        <v>6</v>
      </c>
      <c r="E328" s="1" t="s">
        <v>16</v>
      </c>
      <c r="F328" s="3">
        <f>COUNTIF($A$2:A328,A328)-1</f>
        <v>0</v>
      </c>
      <c r="G328" s="3" t="str">
        <f t="shared" si="10"/>
        <v>New</v>
      </c>
      <c r="H328" s="3" t="str">
        <f t="shared" si="11"/>
        <v>Dec 2022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 x14ac:dyDescent="0.25">
      <c r="A329" s="1" t="s">
        <v>102</v>
      </c>
      <c r="B329" s="2">
        <v>45000</v>
      </c>
      <c r="C329" s="1">
        <v>234.23</v>
      </c>
      <c r="D329" s="1" t="s">
        <v>12</v>
      </c>
      <c r="E329" s="1" t="s">
        <v>7</v>
      </c>
      <c r="F329" s="3">
        <f>COUNTIF($A$2:A329,A329)-1</f>
        <v>1</v>
      </c>
      <c r="G329" s="3" t="str">
        <f t="shared" si="10"/>
        <v>Active</v>
      </c>
      <c r="H329" s="3" t="str">
        <f t="shared" si="11"/>
        <v>Mar 2023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 x14ac:dyDescent="0.25">
      <c r="A330" s="1" t="s">
        <v>50</v>
      </c>
      <c r="B330" s="2">
        <v>44673</v>
      </c>
      <c r="C330" s="1">
        <v>910.23</v>
      </c>
      <c r="D330" s="1" t="s">
        <v>15</v>
      </c>
      <c r="E330" s="1" t="s">
        <v>7</v>
      </c>
      <c r="F330" s="3">
        <f>COUNTIF($A$2:A330,A330)-1</f>
        <v>0</v>
      </c>
      <c r="G330" s="3" t="str">
        <f t="shared" si="10"/>
        <v>New</v>
      </c>
      <c r="H330" s="3" t="str">
        <f t="shared" si="11"/>
        <v>Apr 2022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 x14ac:dyDescent="0.25">
      <c r="A331" s="1" t="s">
        <v>41</v>
      </c>
      <c r="B331" s="2">
        <v>44651</v>
      </c>
      <c r="C331" s="1">
        <v>965.98</v>
      </c>
      <c r="D331" s="1" t="s">
        <v>15</v>
      </c>
      <c r="E331" s="1" t="s">
        <v>16</v>
      </c>
      <c r="F331" s="3">
        <f>COUNTIF($A$2:A331,A331)-1</f>
        <v>0</v>
      </c>
      <c r="G331" s="3" t="str">
        <f t="shared" si="10"/>
        <v>New</v>
      </c>
      <c r="H331" s="3" t="str">
        <f t="shared" si="11"/>
        <v>Mar 2022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 x14ac:dyDescent="0.25">
      <c r="A332" s="1" t="s">
        <v>41</v>
      </c>
      <c r="B332" s="2">
        <v>44713</v>
      </c>
      <c r="C332" s="1">
        <v>204.02</v>
      </c>
      <c r="D332" s="1" t="s">
        <v>21</v>
      </c>
      <c r="E332" s="1" t="s">
        <v>10</v>
      </c>
      <c r="F332" s="3">
        <f>COUNTIF($A$2:A332,A332)-1</f>
        <v>1</v>
      </c>
      <c r="G332" s="3" t="str">
        <f t="shared" si="10"/>
        <v>Active</v>
      </c>
      <c r="H332" s="3" t="str">
        <f t="shared" si="11"/>
        <v>Jun 2022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 x14ac:dyDescent="0.25">
      <c r="A333" s="1" t="s">
        <v>41</v>
      </c>
      <c r="B333" s="2">
        <v>44739</v>
      </c>
      <c r="C333" s="1">
        <v>15.47</v>
      </c>
      <c r="D333" s="1" t="s">
        <v>21</v>
      </c>
      <c r="E333" s="1" t="s">
        <v>16</v>
      </c>
      <c r="F333" s="3">
        <f>COUNTIF($A$2:A333,A333)-1</f>
        <v>2</v>
      </c>
      <c r="G333" s="3" t="str">
        <f t="shared" si="10"/>
        <v>Active</v>
      </c>
      <c r="H333" s="3" t="str">
        <f t="shared" si="11"/>
        <v>Jun 2022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 x14ac:dyDescent="0.25">
      <c r="A334" s="1" t="s">
        <v>41</v>
      </c>
      <c r="B334" s="2">
        <v>44845</v>
      </c>
      <c r="C334" s="1">
        <v>872.75</v>
      </c>
      <c r="D334" s="1" t="s">
        <v>12</v>
      </c>
      <c r="E334" s="1" t="s">
        <v>16</v>
      </c>
      <c r="F334" s="3">
        <f>COUNTIF($A$2:A334,A334)-1</f>
        <v>3</v>
      </c>
      <c r="G334" s="3" t="str">
        <f t="shared" si="10"/>
        <v>Active</v>
      </c>
      <c r="H334" s="3" t="str">
        <f t="shared" si="11"/>
        <v>Oct 2022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 x14ac:dyDescent="0.25">
      <c r="A335" s="1" t="s">
        <v>41</v>
      </c>
      <c r="B335" s="2">
        <v>45141</v>
      </c>
      <c r="C335" s="1">
        <v>854.48</v>
      </c>
      <c r="D335" s="1" t="s">
        <v>15</v>
      </c>
      <c r="E335" s="1" t="s">
        <v>7</v>
      </c>
      <c r="F335" s="3">
        <f>COUNTIF($A$2:A335,A335)-1</f>
        <v>4</v>
      </c>
      <c r="G335" s="3" t="str">
        <f t="shared" si="10"/>
        <v>Active</v>
      </c>
      <c r="H335" s="3" t="str">
        <f t="shared" si="11"/>
        <v>Aug 2023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 x14ac:dyDescent="0.25">
      <c r="A336" s="1" t="s">
        <v>41</v>
      </c>
      <c r="B336" s="2">
        <v>45458</v>
      </c>
      <c r="C336" s="1">
        <v>778.65</v>
      </c>
      <c r="D336" s="1" t="s">
        <v>12</v>
      </c>
      <c r="E336" s="1" t="s">
        <v>13</v>
      </c>
      <c r="F336" s="3">
        <f>COUNTIF($A$2:A336,A336)-1</f>
        <v>5</v>
      </c>
      <c r="G336" s="3" t="str">
        <f t="shared" si="10"/>
        <v>Power User</v>
      </c>
      <c r="H336" s="3" t="str">
        <f t="shared" si="11"/>
        <v>Jun 2024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 x14ac:dyDescent="0.25">
      <c r="A337" s="1" t="s">
        <v>41</v>
      </c>
      <c r="B337" s="2">
        <v>45554</v>
      </c>
      <c r="C337" s="1">
        <v>21.24</v>
      </c>
      <c r="D337" s="1" t="s">
        <v>21</v>
      </c>
      <c r="E337" s="1" t="s">
        <v>7</v>
      </c>
      <c r="F337" s="3">
        <f>COUNTIF($A$2:A337,A337)-1</f>
        <v>6</v>
      </c>
      <c r="G337" s="3" t="str">
        <f t="shared" si="10"/>
        <v>Power User</v>
      </c>
      <c r="H337" s="3" t="str">
        <f t="shared" si="11"/>
        <v>Sept 2024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 x14ac:dyDescent="0.25">
      <c r="A338" s="1" t="s">
        <v>90</v>
      </c>
      <c r="B338" s="2">
        <v>44841</v>
      </c>
      <c r="C338" s="1">
        <v>637.07000000000005</v>
      </c>
      <c r="D338" s="1" t="s">
        <v>15</v>
      </c>
      <c r="E338" s="1" t="s">
        <v>10</v>
      </c>
      <c r="F338" s="3">
        <f>COUNTIF($A$2:A338,A338)-1</f>
        <v>0</v>
      </c>
      <c r="G338" s="3" t="str">
        <f t="shared" si="10"/>
        <v>New</v>
      </c>
      <c r="H338" s="3" t="str">
        <f t="shared" si="11"/>
        <v>Oct 2022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 x14ac:dyDescent="0.25">
      <c r="A339" s="1" t="s">
        <v>90</v>
      </c>
      <c r="B339" s="2">
        <v>45513</v>
      </c>
      <c r="C339" s="1">
        <v>125.9</v>
      </c>
      <c r="D339" s="1" t="s">
        <v>15</v>
      </c>
      <c r="E339" s="1" t="s">
        <v>13</v>
      </c>
      <c r="F339" s="3">
        <f>COUNTIF($A$2:A339,A339)-1</f>
        <v>1</v>
      </c>
      <c r="G339" s="3" t="str">
        <f t="shared" si="10"/>
        <v>Active</v>
      </c>
      <c r="H339" s="3" t="str">
        <f t="shared" si="11"/>
        <v>Aug 2024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 x14ac:dyDescent="0.25">
      <c r="A340" s="1" t="s">
        <v>90</v>
      </c>
      <c r="B340" s="2">
        <v>45649</v>
      </c>
      <c r="C340" s="1">
        <v>359.82</v>
      </c>
      <c r="D340" s="1" t="s">
        <v>12</v>
      </c>
      <c r="E340" s="1" t="s">
        <v>13</v>
      </c>
      <c r="F340" s="3">
        <f>COUNTIF($A$2:A340,A340)-1</f>
        <v>2</v>
      </c>
      <c r="G340" s="3" t="str">
        <f t="shared" si="10"/>
        <v>Active</v>
      </c>
      <c r="H340" s="3" t="str">
        <f t="shared" si="11"/>
        <v>Dec 2024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 x14ac:dyDescent="0.25">
      <c r="A341" s="1" t="s">
        <v>139</v>
      </c>
      <c r="B341" s="2">
        <v>45141</v>
      </c>
      <c r="C341" s="1">
        <v>391.25</v>
      </c>
      <c r="D341" s="1" t="s">
        <v>21</v>
      </c>
      <c r="E341" s="1" t="s">
        <v>10</v>
      </c>
      <c r="F341" s="3">
        <f>COUNTIF($A$2:A341,A341)-1</f>
        <v>0</v>
      </c>
      <c r="G341" s="3" t="str">
        <f t="shared" si="10"/>
        <v>New</v>
      </c>
      <c r="H341" s="3" t="str">
        <f t="shared" si="11"/>
        <v>Aug 2023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 x14ac:dyDescent="0.25">
      <c r="A342" s="1" t="s">
        <v>82</v>
      </c>
      <c r="B342" s="2">
        <v>44780</v>
      </c>
      <c r="C342" s="1">
        <v>477.49</v>
      </c>
      <c r="D342" s="1" t="s">
        <v>21</v>
      </c>
      <c r="E342" s="1" t="s">
        <v>13</v>
      </c>
      <c r="F342" s="3">
        <f>COUNTIF($A$2:A342,A342)-1</f>
        <v>0</v>
      </c>
      <c r="G342" s="3" t="str">
        <f t="shared" si="10"/>
        <v>New</v>
      </c>
      <c r="H342" s="3" t="str">
        <f t="shared" si="11"/>
        <v>Aug 2022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 x14ac:dyDescent="0.25">
      <c r="A343" s="1" t="s">
        <v>82</v>
      </c>
      <c r="B343" s="2">
        <v>45234</v>
      </c>
      <c r="C343" s="1">
        <v>626.66</v>
      </c>
      <c r="D343" s="1" t="s">
        <v>15</v>
      </c>
      <c r="E343" s="1" t="s">
        <v>13</v>
      </c>
      <c r="F343" s="3">
        <f>COUNTIF($A$2:A343,A343)-1</f>
        <v>1</v>
      </c>
      <c r="G343" s="3" t="str">
        <f t="shared" si="10"/>
        <v>Active</v>
      </c>
      <c r="H343" s="3" t="str">
        <f t="shared" si="11"/>
        <v>Nov 2023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 x14ac:dyDescent="0.25">
      <c r="A344" s="1" t="s">
        <v>77</v>
      </c>
      <c r="B344" s="2">
        <v>44766</v>
      </c>
      <c r="C344" s="1">
        <v>627.07000000000005</v>
      </c>
      <c r="D344" s="1" t="s">
        <v>9</v>
      </c>
      <c r="E344" s="1" t="s">
        <v>10</v>
      </c>
      <c r="F344" s="3">
        <f>COUNTIF($A$2:A344,A344)-1</f>
        <v>0</v>
      </c>
      <c r="G344" s="3" t="str">
        <f t="shared" si="10"/>
        <v>New</v>
      </c>
      <c r="H344" s="3" t="str">
        <f t="shared" si="11"/>
        <v>Jul 2022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 x14ac:dyDescent="0.25">
      <c r="A345" s="1" t="s">
        <v>77</v>
      </c>
      <c r="B345" s="2">
        <v>44809</v>
      </c>
      <c r="C345" s="1">
        <v>640.04999999999995</v>
      </c>
      <c r="D345" s="1" t="s">
        <v>21</v>
      </c>
      <c r="E345" s="1" t="s">
        <v>10</v>
      </c>
      <c r="F345" s="3">
        <f>COUNTIF($A$2:A345,A345)-1</f>
        <v>1</v>
      </c>
      <c r="G345" s="3" t="str">
        <f t="shared" si="10"/>
        <v>Active</v>
      </c>
      <c r="H345" s="3" t="str">
        <f t="shared" si="11"/>
        <v>Sept 2022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 x14ac:dyDescent="0.25">
      <c r="A346" s="1" t="s">
        <v>77</v>
      </c>
      <c r="B346" s="2">
        <v>44996</v>
      </c>
      <c r="C346" s="1">
        <v>516.97</v>
      </c>
      <c r="D346" s="1" t="s">
        <v>9</v>
      </c>
      <c r="E346" s="1" t="s">
        <v>16</v>
      </c>
      <c r="F346" s="3">
        <f>COUNTIF($A$2:A346,A346)-1</f>
        <v>2</v>
      </c>
      <c r="G346" s="3" t="str">
        <f t="shared" si="10"/>
        <v>Active</v>
      </c>
      <c r="H346" s="3" t="str">
        <f t="shared" si="11"/>
        <v>Mar 2023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 x14ac:dyDescent="0.25">
      <c r="A347" s="1" t="s">
        <v>77</v>
      </c>
      <c r="B347" s="2">
        <v>45131</v>
      </c>
      <c r="C347" s="1">
        <v>433.9</v>
      </c>
      <c r="D347" s="1" t="s">
        <v>21</v>
      </c>
      <c r="E347" s="1" t="s">
        <v>7</v>
      </c>
      <c r="F347" s="3">
        <f>COUNTIF($A$2:A347,A347)-1</f>
        <v>3</v>
      </c>
      <c r="G347" s="3" t="str">
        <f t="shared" si="10"/>
        <v>Active</v>
      </c>
      <c r="H347" s="3" t="str">
        <f t="shared" si="11"/>
        <v>Jul 2023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 x14ac:dyDescent="0.25">
      <c r="A348" s="1" t="s">
        <v>77</v>
      </c>
      <c r="B348" s="2">
        <v>45475</v>
      </c>
      <c r="C348" s="1">
        <v>896.57</v>
      </c>
      <c r="D348" s="1" t="s">
        <v>6</v>
      </c>
      <c r="E348" s="1" t="s">
        <v>7</v>
      </c>
      <c r="F348" s="3">
        <f>COUNTIF($A$2:A348,A348)-1</f>
        <v>4</v>
      </c>
      <c r="G348" s="3" t="str">
        <f t="shared" si="10"/>
        <v>Active</v>
      </c>
      <c r="H348" s="3" t="str">
        <f t="shared" si="11"/>
        <v>Jul 2024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 x14ac:dyDescent="0.25">
      <c r="A349" s="1" t="s">
        <v>77</v>
      </c>
      <c r="B349" s="2">
        <v>45491</v>
      </c>
      <c r="C349" s="1">
        <v>951.1</v>
      </c>
      <c r="D349" s="1" t="s">
        <v>9</v>
      </c>
      <c r="E349" s="1" t="s">
        <v>10</v>
      </c>
      <c r="F349" s="3">
        <f>COUNTIF($A$2:A349,A349)-1</f>
        <v>5</v>
      </c>
      <c r="G349" s="3" t="str">
        <f t="shared" si="10"/>
        <v>Power User</v>
      </c>
      <c r="H349" s="3" t="str">
        <f t="shared" si="11"/>
        <v>Jul 2024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 x14ac:dyDescent="0.25">
      <c r="A350" s="1" t="s">
        <v>77</v>
      </c>
      <c r="B350" s="2">
        <v>45654</v>
      </c>
      <c r="C350" s="1">
        <v>86.96</v>
      </c>
      <c r="D350" s="1" t="s">
        <v>15</v>
      </c>
      <c r="E350" s="1" t="s">
        <v>10</v>
      </c>
      <c r="F350" s="3">
        <f>COUNTIF($A$2:A350,A350)-1</f>
        <v>6</v>
      </c>
      <c r="G350" s="3" t="str">
        <f t="shared" si="10"/>
        <v>Power User</v>
      </c>
      <c r="H350" s="3" t="str">
        <f t="shared" si="11"/>
        <v>Dec 2024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 x14ac:dyDescent="0.25">
      <c r="A351" s="1" t="s">
        <v>133</v>
      </c>
      <c r="B351" s="2">
        <v>45079</v>
      </c>
      <c r="C351" s="1">
        <v>653.14</v>
      </c>
      <c r="D351" s="1" t="s">
        <v>9</v>
      </c>
      <c r="E351" s="1" t="s">
        <v>13</v>
      </c>
      <c r="F351" s="3">
        <f>COUNTIF($A$2:A351,A351)-1</f>
        <v>0</v>
      </c>
      <c r="G351" s="3" t="str">
        <f t="shared" si="10"/>
        <v>New</v>
      </c>
      <c r="H351" s="3" t="str">
        <f t="shared" si="11"/>
        <v>Jun 2023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 x14ac:dyDescent="0.25">
      <c r="A352" s="1" t="s">
        <v>133</v>
      </c>
      <c r="B352" s="2">
        <v>45199</v>
      </c>
      <c r="C352" s="1">
        <v>344.62</v>
      </c>
      <c r="D352" s="1" t="s">
        <v>6</v>
      </c>
      <c r="E352" s="1" t="s">
        <v>16</v>
      </c>
      <c r="F352" s="3">
        <f>COUNTIF($A$2:A352,A352)-1</f>
        <v>1</v>
      </c>
      <c r="G352" s="3" t="str">
        <f t="shared" si="10"/>
        <v>Active</v>
      </c>
      <c r="H352" s="3" t="str">
        <f t="shared" si="11"/>
        <v>Sept 2023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 x14ac:dyDescent="0.25">
      <c r="A353" s="1" t="s">
        <v>133</v>
      </c>
      <c r="B353" s="2">
        <v>45542</v>
      </c>
      <c r="C353" s="1">
        <v>779.38</v>
      </c>
      <c r="D353" s="1" t="s">
        <v>12</v>
      </c>
      <c r="E353" s="1" t="s">
        <v>7</v>
      </c>
      <c r="F353" s="3">
        <f>COUNTIF($A$2:A353,A353)-1</f>
        <v>2</v>
      </c>
      <c r="G353" s="3" t="str">
        <f t="shared" si="10"/>
        <v>Active</v>
      </c>
      <c r="H353" s="3" t="str">
        <f t="shared" si="11"/>
        <v>Sept 2024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 x14ac:dyDescent="0.25">
      <c r="A354" s="1" t="s">
        <v>133</v>
      </c>
      <c r="B354" s="2">
        <v>45561</v>
      </c>
      <c r="C354" s="1">
        <v>126.35</v>
      </c>
      <c r="D354" s="1" t="s">
        <v>6</v>
      </c>
      <c r="E354" s="1" t="s">
        <v>10</v>
      </c>
      <c r="F354" s="3">
        <f>COUNTIF($A$2:A354,A354)-1</f>
        <v>3</v>
      </c>
      <c r="G354" s="3" t="str">
        <f t="shared" si="10"/>
        <v>Active</v>
      </c>
      <c r="H354" s="3" t="str">
        <f t="shared" si="11"/>
        <v>Sept 2024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 x14ac:dyDescent="0.25">
      <c r="A355" s="1" t="s">
        <v>128</v>
      </c>
      <c r="B355" s="2">
        <v>45061</v>
      </c>
      <c r="C355" s="1">
        <v>110.46</v>
      </c>
      <c r="D355" s="1" t="s">
        <v>12</v>
      </c>
      <c r="E355" s="1" t="s">
        <v>10</v>
      </c>
      <c r="F355" s="3">
        <f>COUNTIF($A$2:A355,A355)-1</f>
        <v>0</v>
      </c>
      <c r="G355" s="3" t="str">
        <f t="shared" si="10"/>
        <v>New</v>
      </c>
      <c r="H355" s="3" t="str">
        <f t="shared" si="11"/>
        <v>May 2023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 x14ac:dyDescent="0.25">
      <c r="A356" s="1" t="s">
        <v>128</v>
      </c>
      <c r="B356" s="2">
        <v>45127</v>
      </c>
      <c r="C356" s="1">
        <v>915.72</v>
      </c>
      <c r="D356" s="1" t="s">
        <v>21</v>
      </c>
      <c r="E356" s="1" t="s">
        <v>10</v>
      </c>
      <c r="F356" s="3">
        <f>COUNTIF($A$2:A356,A356)-1</f>
        <v>1</v>
      </c>
      <c r="G356" s="3" t="str">
        <f t="shared" si="10"/>
        <v>Active</v>
      </c>
      <c r="H356" s="3" t="str">
        <f t="shared" si="11"/>
        <v>Jul 2023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 x14ac:dyDescent="0.25">
      <c r="A357" s="1" t="s">
        <v>128</v>
      </c>
      <c r="B357" s="2">
        <v>45432</v>
      </c>
      <c r="C357" s="1">
        <v>289.04000000000002</v>
      </c>
      <c r="D357" s="1" t="s">
        <v>12</v>
      </c>
      <c r="E357" s="1" t="s">
        <v>16</v>
      </c>
      <c r="F357" s="3">
        <f>COUNTIF($A$2:A357,A357)-1</f>
        <v>2</v>
      </c>
      <c r="G357" s="3" t="str">
        <f t="shared" si="10"/>
        <v>Active</v>
      </c>
      <c r="H357" s="3" t="str">
        <f t="shared" si="11"/>
        <v>May 2024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 x14ac:dyDescent="0.25">
      <c r="A358" s="1" t="s">
        <v>128</v>
      </c>
      <c r="B358" s="2">
        <v>45538</v>
      </c>
      <c r="C358" s="1">
        <v>382.5</v>
      </c>
      <c r="D358" s="1" t="s">
        <v>6</v>
      </c>
      <c r="E358" s="1" t="s">
        <v>10</v>
      </c>
      <c r="F358" s="3">
        <f>COUNTIF($A$2:A358,A358)-1</f>
        <v>3</v>
      </c>
      <c r="G358" s="3" t="str">
        <f t="shared" si="10"/>
        <v>Active</v>
      </c>
      <c r="H358" s="3" t="str">
        <f t="shared" si="11"/>
        <v>Sept 2024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 x14ac:dyDescent="0.25">
      <c r="A359" s="1" t="s">
        <v>131</v>
      </c>
      <c r="B359" s="2">
        <v>45074</v>
      </c>
      <c r="C359" s="1">
        <v>232.03</v>
      </c>
      <c r="D359" s="1" t="s">
        <v>9</v>
      </c>
      <c r="E359" s="1" t="s">
        <v>10</v>
      </c>
      <c r="F359" s="3">
        <f>COUNTIF($A$2:A359,A359)-1</f>
        <v>0</v>
      </c>
      <c r="G359" s="3" t="str">
        <f t="shared" si="10"/>
        <v>New</v>
      </c>
      <c r="H359" s="3" t="str">
        <f t="shared" si="11"/>
        <v>May 2023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 x14ac:dyDescent="0.25">
      <c r="A360" s="1" t="s">
        <v>131</v>
      </c>
      <c r="B360" s="2">
        <v>45440</v>
      </c>
      <c r="C360" s="1">
        <v>737.72</v>
      </c>
      <c r="D360" s="1" t="s">
        <v>15</v>
      </c>
      <c r="E360" s="1" t="s">
        <v>10</v>
      </c>
      <c r="F360" s="3">
        <f>COUNTIF($A$2:A360,A360)-1</f>
        <v>1</v>
      </c>
      <c r="G360" s="3" t="str">
        <f t="shared" si="10"/>
        <v>Active</v>
      </c>
      <c r="H360" s="3" t="str">
        <f t="shared" si="11"/>
        <v>May 2024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 x14ac:dyDescent="0.25">
      <c r="A361" s="1" t="s">
        <v>131</v>
      </c>
      <c r="B361" s="2">
        <v>45450</v>
      </c>
      <c r="C361" s="1">
        <v>753.11</v>
      </c>
      <c r="D361" s="1" t="s">
        <v>6</v>
      </c>
      <c r="E361" s="1" t="s">
        <v>16</v>
      </c>
      <c r="F361" s="3">
        <f>COUNTIF($A$2:A361,A361)-1</f>
        <v>2</v>
      </c>
      <c r="G361" s="3" t="str">
        <f t="shared" si="10"/>
        <v>Active</v>
      </c>
      <c r="H361" s="3" t="str">
        <f t="shared" si="11"/>
        <v>Jun 2024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 x14ac:dyDescent="0.25">
      <c r="A362" s="1" t="s">
        <v>160</v>
      </c>
      <c r="B362" s="2">
        <v>45639</v>
      </c>
      <c r="C362" s="1">
        <v>284.61</v>
      </c>
      <c r="D362" s="1" t="s">
        <v>15</v>
      </c>
      <c r="E362" s="1" t="s">
        <v>13</v>
      </c>
      <c r="F362" s="3">
        <f>COUNTIF($A$2:A362,A362)-1</f>
        <v>0</v>
      </c>
      <c r="G362" s="3" t="str">
        <f t="shared" si="10"/>
        <v>New</v>
      </c>
      <c r="H362" s="3" t="str">
        <f t="shared" si="11"/>
        <v>Dec 2024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 x14ac:dyDescent="0.25">
      <c r="A363" s="1" t="s">
        <v>32</v>
      </c>
      <c r="B363" s="2">
        <v>44617</v>
      </c>
      <c r="C363" s="1">
        <v>615.73</v>
      </c>
      <c r="D363" s="1" t="s">
        <v>6</v>
      </c>
      <c r="E363" s="1" t="s">
        <v>7</v>
      </c>
      <c r="F363" s="3">
        <f>COUNTIF($A$2:A363,A363)-1</f>
        <v>0</v>
      </c>
      <c r="G363" s="3" t="str">
        <f t="shared" si="10"/>
        <v>New</v>
      </c>
      <c r="H363" s="3" t="str">
        <f t="shared" si="11"/>
        <v>Feb 2022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 x14ac:dyDescent="0.25">
      <c r="A364" s="1" t="s">
        <v>32</v>
      </c>
      <c r="B364" s="2">
        <v>45216</v>
      </c>
      <c r="C364" s="1">
        <v>293.68</v>
      </c>
      <c r="D364" s="1" t="s">
        <v>21</v>
      </c>
      <c r="E364" s="1" t="s">
        <v>7</v>
      </c>
      <c r="F364" s="3">
        <f>COUNTIF($A$2:A364,A364)-1</f>
        <v>1</v>
      </c>
      <c r="G364" s="3" t="str">
        <f t="shared" si="10"/>
        <v>Active</v>
      </c>
      <c r="H364" s="3" t="str">
        <f t="shared" si="11"/>
        <v>Oct 2023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 x14ac:dyDescent="0.25">
      <c r="A365" s="1" t="s">
        <v>32</v>
      </c>
      <c r="B365" s="2">
        <v>45553</v>
      </c>
      <c r="C365" s="1">
        <v>497.7</v>
      </c>
      <c r="D365" s="1" t="s">
        <v>9</v>
      </c>
      <c r="E365" s="1" t="s">
        <v>16</v>
      </c>
      <c r="F365" s="3">
        <f>COUNTIF($A$2:A365,A365)-1</f>
        <v>2</v>
      </c>
      <c r="G365" s="3" t="str">
        <f t="shared" si="10"/>
        <v>Active</v>
      </c>
      <c r="H365" s="3" t="str">
        <f t="shared" si="11"/>
        <v>Sept 2024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 x14ac:dyDescent="0.25">
      <c r="A366" s="1" t="s">
        <v>23</v>
      </c>
      <c r="B366" s="2">
        <v>44590</v>
      </c>
      <c r="C366" s="1">
        <v>710.99</v>
      </c>
      <c r="D366" s="1" t="s">
        <v>15</v>
      </c>
      <c r="E366" s="1" t="s">
        <v>10</v>
      </c>
      <c r="F366" s="3">
        <f>COUNTIF($A$2:A366,A366)-1</f>
        <v>0</v>
      </c>
      <c r="G366" s="3" t="str">
        <f t="shared" si="10"/>
        <v>New</v>
      </c>
      <c r="H366" s="3" t="str">
        <f t="shared" si="11"/>
        <v>Jan 2022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 x14ac:dyDescent="0.25">
      <c r="A367" s="1" t="s">
        <v>23</v>
      </c>
      <c r="B367" s="2">
        <v>44628</v>
      </c>
      <c r="C367" s="1">
        <v>207.68</v>
      </c>
      <c r="D367" s="1" t="s">
        <v>15</v>
      </c>
      <c r="E367" s="1" t="s">
        <v>10</v>
      </c>
      <c r="F367" s="3">
        <f>COUNTIF($A$2:A367,A367)-1</f>
        <v>1</v>
      </c>
      <c r="G367" s="3" t="str">
        <f t="shared" si="10"/>
        <v>Active</v>
      </c>
      <c r="H367" s="3" t="str">
        <f t="shared" si="11"/>
        <v>Mar 2022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 x14ac:dyDescent="0.25">
      <c r="A368" s="1" t="s">
        <v>23</v>
      </c>
      <c r="B368" s="2">
        <v>44835</v>
      </c>
      <c r="C368" s="1">
        <v>930.4</v>
      </c>
      <c r="D368" s="1" t="s">
        <v>15</v>
      </c>
      <c r="E368" s="1" t="s">
        <v>13</v>
      </c>
      <c r="F368" s="3">
        <f>COUNTIF($A$2:A368,A368)-1</f>
        <v>2</v>
      </c>
      <c r="G368" s="3" t="str">
        <f t="shared" si="10"/>
        <v>Active</v>
      </c>
      <c r="H368" s="3" t="str">
        <f t="shared" si="11"/>
        <v>Oct 2022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 x14ac:dyDescent="0.25">
      <c r="A369" s="1" t="s">
        <v>23</v>
      </c>
      <c r="B369" s="2">
        <v>44978</v>
      </c>
      <c r="C369" s="1">
        <v>194.65</v>
      </c>
      <c r="D369" s="1" t="s">
        <v>9</v>
      </c>
      <c r="E369" s="1" t="s">
        <v>16</v>
      </c>
      <c r="F369" s="3">
        <f>COUNTIF($A$2:A369,A369)-1</f>
        <v>3</v>
      </c>
      <c r="G369" s="3" t="str">
        <f t="shared" si="10"/>
        <v>Active</v>
      </c>
      <c r="H369" s="3" t="str">
        <f t="shared" si="11"/>
        <v>Feb 2023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 x14ac:dyDescent="0.25">
      <c r="A370" s="1" t="s">
        <v>23</v>
      </c>
      <c r="B370" s="2">
        <v>45072</v>
      </c>
      <c r="C370" s="1">
        <v>655.44</v>
      </c>
      <c r="D370" s="1" t="s">
        <v>9</v>
      </c>
      <c r="E370" s="1" t="s">
        <v>13</v>
      </c>
      <c r="F370" s="3">
        <f>COUNTIF($A$2:A370,A370)-1</f>
        <v>4</v>
      </c>
      <c r="G370" s="3" t="str">
        <f t="shared" si="10"/>
        <v>Active</v>
      </c>
      <c r="H370" s="3" t="str">
        <f t="shared" si="11"/>
        <v>May 2023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 x14ac:dyDescent="0.25">
      <c r="A371" s="1" t="s">
        <v>23</v>
      </c>
      <c r="B371" s="2">
        <v>45104</v>
      </c>
      <c r="C371" s="1">
        <v>399.17</v>
      </c>
      <c r="D371" s="1" t="s">
        <v>9</v>
      </c>
      <c r="E371" s="1" t="s">
        <v>10</v>
      </c>
      <c r="F371" s="3">
        <f>COUNTIF($A$2:A371,A371)-1</f>
        <v>5</v>
      </c>
      <c r="G371" s="3" t="str">
        <f t="shared" si="10"/>
        <v>Power User</v>
      </c>
      <c r="H371" s="3" t="str">
        <f t="shared" si="11"/>
        <v>Jun 2023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 x14ac:dyDescent="0.25">
      <c r="A372" s="1" t="s">
        <v>23</v>
      </c>
      <c r="B372" s="2">
        <v>45151</v>
      </c>
      <c r="C372" s="1">
        <v>561.23</v>
      </c>
      <c r="D372" s="1" t="s">
        <v>6</v>
      </c>
      <c r="E372" s="1" t="s">
        <v>10</v>
      </c>
      <c r="F372" s="3">
        <f>COUNTIF($A$2:A372,A372)-1</f>
        <v>6</v>
      </c>
      <c r="G372" s="3" t="str">
        <f t="shared" si="10"/>
        <v>Power User</v>
      </c>
      <c r="H372" s="3" t="str">
        <f t="shared" si="11"/>
        <v>Aug 2023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 x14ac:dyDescent="0.25">
      <c r="A373" s="1" t="s">
        <v>23</v>
      </c>
      <c r="B373" s="2">
        <v>45352</v>
      </c>
      <c r="C373" s="1">
        <v>619.69000000000005</v>
      </c>
      <c r="D373" s="1" t="s">
        <v>6</v>
      </c>
      <c r="E373" s="1" t="s">
        <v>13</v>
      </c>
      <c r="F373" s="3">
        <f>COUNTIF($A$2:A373,A373)-1</f>
        <v>7</v>
      </c>
      <c r="G373" s="3" t="str">
        <f t="shared" si="10"/>
        <v>Power User</v>
      </c>
      <c r="H373" s="3" t="str">
        <f t="shared" si="11"/>
        <v>Mar 2024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 x14ac:dyDescent="0.25">
      <c r="A374" s="1" t="s">
        <v>86</v>
      </c>
      <c r="B374" s="2">
        <v>44804</v>
      </c>
      <c r="C374" s="1">
        <v>116.81</v>
      </c>
      <c r="D374" s="1" t="s">
        <v>6</v>
      </c>
      <c r="E374" s="1" t="s">
        <v>13</v>
      </c>
      <c r="F374" s="3">
        <f>COUNTIF($A$2:A374,A374)-1</f>
        <v>0</v>
      </c>
      <c r="G374" s="3" t="str">
        <f t="shared" si="10"/>
        <v>New</v>
      </c>
      <c r="H374" s="3" t="str">
        <f t="shared" si="11"/>
        <v>Aug 2022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 x14ac:dyDescent="0.25">
      <c r="A375" s="1" t="s">
        <v>86</v>
      </c>
      <c r="B375" s="2">
        <v>45389</v>
      </c>
      <c r="C375" s="1">
        <v>646</v>
      </c>
      <c r="D375" s="1" t="s">
        <v>9</v>
      </c>
      <c r="E375" s="1" t="s">
        <v>16</v>
      </c>
      <c r="F375" s="3">
        <f>COUNTIF($A$2:A375,A375)-1</f>
        <v>1</v>
      </c>
      <c r="G375" s="3" t="str">
        <f t="shared" si="10"/>
        <v>Active</v>
      </c>
      <c r="H375" s="3" t="str">
        <f t="shared" si="11"/>
        <v>Apr 2024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 x14ac:dyDescent="0.25">
      <c r="A376" s="1" t="s">
        <v>130</v>
      </c>
      <c r="B376" s="2">
        <v>45068</v>
      </c>
      <c r="C376" s="1">
        <v>553.25</v>
      </c>
      <c r="D376" s="1" t="s">
        <v>12</v>
      </c>
      <c r="E376" s="1" t="s">
        <v>7</v>
      </c>
      <c r="F376" s="3">
        <f>COUNTIF($A$2:A376,A376)-1</f>
        <v>0</v>
      </c>
      <c r="G376" s="3" t="str">
        <f t="shared" si="10"/>
        <v>New</v>
      </c>
      <c r="H376" s="3" t="str">
        <f t="shared" si="11"/>
        <v>May 2023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 x14ac:dyDescent="0.25">
      <c r="A377" s="1" t="s">
        <v>130</v>
      </c>
      <c r="B377" s="2">
        <v>45408</v>
      </c>
      <c r="C377" s="1">
        <v>906.3</v>
      </c>
      <c r="D377" s="1" t="s">
        <v>9</v>
      </c>
      <c r="E377" s="1" t="s">
        <v>13</v>
      </c>
      <c r="F377" s="3">
        <f>COUNTIF($A$2:A377,A377)-1</f>
        <v>1</v>
      </c>
      <c r="G377" s="3" t="str">
        <f t="shared" si="10"/>
        <v>Active</v>
      </c>
      <c r="H377" s="3" t="str">
        <f t="shared" si="11"/>
        <v>Apr 2024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 x14ac:dyDescent="0.25">
      <c r="A378" s="1" t="s">
        <v>130</v>
      </c>
      <c r="B378" s="2">
        <v>45525</v>
      </c>
      <c r="C378" s="1">
        <v>93.99</v>
      </c>
      <c r="D378" s="1" t="s">
        <v>12</v>
      </c>
      <c r="E378" s="1" t="s">
        <v>7</v>
      </c>
      <c r="F378" s="3">
        <f>COUNTIF($A$2:A378,A378)-1</f>
        <v>2</v>
      </c>
      <c r="G378" s="3" t="str">
        <f t="shared" si="10"/>
        <v>Active</v>
      </c>
      <c r="H378" s="3" t="str">
        <f t="shared" si="11"/>
        <v>Aug 2024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 x14ac:dyDescent="0.25">
      <c r="A379" s="1" t="s">
        <v>130</v>
      </c>
      <c r="B379" s="2">
        <v>45567</v>
      </c>
      <c r="C379" s="1">
        <v>292.85000000000002</v>
      </c>
      <c r="D379" s="1" t="s">
        <v>12</v>
      </c>
      <c r="E379" s="1" t="s">
        <v>7</v>
      </c>
      <c r="F379" s="3">
        <f>COUNTIF($A$2:A379,A379)-1</f>
        <v>3</v>
      </c>
      <c r="G379" s="3" t="str">
        <f t="shared" si="10"/>
        <v>Active</v>
      </c>
      <c r="H379" s="3" t="str">
        <f t="shared" si="11"/>
        <v>Oct 2024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 x14ac:dyDescent="0.25">
      <c r="A380" s="1" t="s">
        <v>96</v>
      </c>
      <c r="B380" s="2">
        <v>44874</v>
      </c>
      <c r="C380" s="1">
        <v>862.12</v>
      </c>
      <c r="D380" s="1" t="s">
        <v>21</v>
      </c>
      <c r="E380" s="1" t="s">
        <v>13</v>
      </c>
      <c r="F380" s="3">
        <f>COUNTIF($A$2:A380,A380)-1</f>
        <v>0</v>
      </c>
      <c r="G380" s="3" t="str">
        <f t="shared" si="10"/>
        <v>New</v>
      </c>
      <c r="H380" s="3" t="str">
        <f t="shared" si="11"/>
        <v>Nov 2022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 x14ac:dyDescent="0.25">
      <c r="A381" s="1" t="s">
        <v>96</v>
      </c>
      <c r="B381" s="2">
        <v>45506</v>
      </c>
      <c r="C381" s="1">
        <v>499.48</v>
      </c>
      <c r="D381" s="1" t="s">
        <v>15</v>
      </c>
      <c r="E381" s="1" t="s">
        <v>16</v>
      </c>
      <c r="F381" s="3">
        <f>COUNTIF($A$2:A381,A381)-1</f>
        <v>1</v>
      </c>
      <c r="G381" s="3" t="str">
        <f t="shared" si="10"/>
        <v>Active</v>
      </c>
      <c r="H381" s="3" t="str">
        <f t="shared" si="11"/>
        <v>Aug 2024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 x14ac:dyDescent="0.25">
      <c r="A382" s="1" t="s">
        <v>96</v>
      </c>
      <c r="B382" s="2">
        <v>45508</v>
      </c>
      <c r="C382" s="1">
        <v>447.12</v>
      </c>
      <c r="D382" s="1" t="s">
        <v>15</v>
      </c>
      <c r="E382" s="1" t="s">
        <v>16</v>
      </c>
      <c r="F382" s="3">
        <f>COUNTIF($A$2:A382,A382)-1</f>
        <v>2</v>
      </c>
      <c r="G382" s="3" t="str">
        <f t="shared" si="10"/>
        <v>Active</v>
      </c>
      <c r="H382" s="3" t="str">
        <f t="shared" si="11"/>
        <v>Aug 2024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 x14ac:dyDescent="0.25">
      <c r="A383" s="1" t="s">
        <v>96</v>
      </c>
      <c r="B383" s="2">
        <v>45519</v>
      </c>
      <c r="C383" s="1">
        <v>93.27</v>
      </c>
      <c r="D383" s="1" t="s">
        <v>15</v>
      </c>
      <c r="E383" s="1" t="s">
        <v>10</v>
      </c>
      <c r="F383" s="3">
        <f>COUNTIF($A$2:A383,A383)-1</f>
        <v>3</v>
      </c>
      <c r="G383" s="3" t="str">
        <f t="shared" si="10"/>
        <v>Active</v>
      </c>
      <c r="H383" s="3" t="str">
        <f t="shared" si="11"/>
        <v>Aug 2024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 x14ac:dyDescent="0.25">
      <c r="A384" s="1" t="s">
        <v>117</v>
      </c>
      <c r="B384" s="2">
        <v>45005</v>
      </c>
      <c r="C384" s="1">
        <v>648.72</v>
      </c>
      <c r="D384" s="1" t="s">
        <v>6</v>
      </c>
      <c r="E384" s="1" t="s">
        <v>7</v>
      </c>
      <c r="F384" s="3">
        <f>COUNTIF($A$2:A384,A384)-1</f>
        <v>0</v>
      </c>
      <c r="G384" s="3" t="str">
        <f t="shared" si="10"/>
        <v>New</v>
      </c>
      <c r="H384" s="3" t="str">
        <f t="shared" si="11"/>
        <v>Mar 2023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 x14ac:dyDescent="0.25">
      <c r="A385" s="1" t="s">
        <v>117</v>
      </c>
      <c r="B385" s="2">
        <v>45282</v>
      </c>
      <c r="C385" s="1">
        <v>553.73</v>
      </c>
      <c r="D385" s="1" t="s">
        <v>9</v>
      </c>
      <c r="E385" s="1" t="s">
        <v>13</v>
      </c>
      <c r="F385" s="3">
        <f>COUNTIF($A$2:A385,A385)-1</f>
        <v>1</v>
      </c>
      <c r="G385" s="3" t="str">
        <f t="shared" si="10"/>
        <v>Active</v>
      </c>
      <c r="H385" s="3" t="str">
        <f t="shared" si="11"/>
        <v>Dec 2023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 x14ac:dyDescent="0.25">
      <c r="A386" s="1" t="s">
        <v>136</v>
      </c>
      <c r="B386" s="2">
        <v>45115</v>
      </c>
      <c r="C386" s="1">
        <v>497.59</v>
      </c>
      <c r="D386" s="1" t="s">
        <v>21</v>
      </c>
      <c r="E386" s="1" t="s">
        <v>16</v>
      </c>
      <c r="F386" s="3">
        <f>COUNTIF($A$2:A386,A386)-1</f>
        <v>0</v>
      </c>
      <c r="G386" s="3" t="str">
        <f t="shared" ref="G386:G449" si="12">IF(F386=0,"New",IF(F386&lt;=4,"Active","Power User"))</f>
        <v>New</v>
      </c>
      <c r="H386" s="3" t="str">
        <f t="shared" ref="H386:H449" si="13">TEXT(B386,"mmm yyyy")</f>
        <v>Jul 2023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 x14ac:dyDescent="0.25">
      <c r="A387" s="1" t="s">
        <v>136</v>
      </c>
      <c r="B387" s="2">
        <v>45382</v>
      </c>
      <c r="C387" s="1">
        <v>171.31</v>
      </c>
      <c r="D387" s="1" t="s">
        <v>9</v>
      </c>
      <c r="E387" s="1" t="s">
        <v>10</v>
      </c>
      <c r="F387" s="3">
        <f>COUNTIF($A$2:A387,A387)-1</f>
        <v>1</v>
      </c>
      <c r="G387" s="3" t="str">
        <f t="shared" si="12"/>
        <v>Active</v>
      </c>
      <c r="H387" s="3" t="str">
        <f t="shared" si="13"/>
        <v>Mar 2024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 x14ac:dyDescent="0.25">
      <c r="A388" s="1" t="s">
        <v>136</v>
      </c>
      <c r="B388" s="2">
        <v>45574</v>
      </c>
      <c r="C388" s="1">
        <v>22.03</v>
      </c>
      <c r="D388" s="1" t="s">
        <v>15</v>
      </c>
      <c r="E388" s="1" t="s">
        <v>16</v>
      </c>
      <c r="F388" s="3">
        <f>COUNTIF($A$2:A388,A388)-1</f>
        <v>2</v>
      </c>
      <c r="G388" s="3" t="str">
        <f t="shared" si="12"/>
        <v>Active</v>
      </c>
      <c r="H388" s="3" t="str">
        <f t="shared" si="13"/>
        <v>Oct 2024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 x14ac:dyDescent="0.25">
      <c r="A389" s="1" t="s">
        <v>136</v>
      </c>
      <c r="B389" s="2">
        <v>45576</v>
      </c>
      <c r="C389" s="1">
        <v>970.18</v>
      </c>
      <c r="D389" s="1" t="s">
        <v>15</v>
      </c>
      <c r="E389" s="1" t="s">
        <v>7</v>
      </c>
      <c r="F389" s="3">
        <f>COUNTIF($A$2:A389,A389)-1</f>
        <v>3</v>
      </c>
      <c r="G389" s="3" t="str">
        <f t="shared" si="12"/>
        <v>Active</v>
      </c>
      <c r="H389" s="3" t="str">
        <f t="shared" si="13"/>
        <v>Oct 2024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 x14ac:dyDescent="0.25">
      <c r="A390" s="1" t="s">
        <v>34</v>
      </c>
      <c r="B390" s="2">
        <v>44621</v>
      </c>
      <c r="C390" s="1">
        <v>299.22000000000003</v>
      </c>
      <c r="D390" s="1" t="s">
        <v>15</v>
      </c>
      <c r="E390" s="1" t="s">
        <v>16</v>
      </c>
      <c r="F390" s="3">
        <f>COUNTIF($A$2:A390,A390)-1</f>
        <v>0</v>
      </c>
      <c r="G390" s="3" t="str">
        <f t="shared" si="12"/>
        <v>New</v>
      </c>
      <c r="H390" s="3" t="str">
        <f t="shared" si="13"/>
        <v>Mar 2022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 x14ac:dyDescent="0.25">
      <c r="A391" s="1" t="s">
        <v>34</v>
      </c>
      <c r="B391" s="2">
        <v>45103</v>
      </c>
      <c r="C391" s="1">
        <v>251.55</v>
      </c>
      <c r="D391" s="1" t="s">
        <v>15</v>
      </c>
      <c r="E391" s="1" t="s">
        <v>13</v>
      </c>
      <c r="F391" s="3">
        <f>COUNTIF($A$2:A391,A391)-1</f>
        <v>1</v>
      </c>
      <c r="G391" s="3" t="str">
        <f t="shared" si="12"/>
        <v>Active</v>
      </c>
      <c r="H391" s="3" t="str">
        <f t="shared" si="13"/>
        <v>Jun 2023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 x14ac:dyDescent="0.25">
      <c r="A392" s="1" t="s">
        <v>119</v>
      </c>
      <c r="B392" s="2">
        <v>45010</v>
      </c>
      <c r="C392" s="1">
        <v>694.03</v>
      </c>
      <c r="D392" s="1" t="s">
        <v>21</v>
      </c>
      <c r="E392" s="1" t="s">
        <v>16</v>
      </c>
      <c r="F392" s="3">
        <f>COUNTIF($A$2:A392,A392)-1</f>
        <v>0</v>
      </c>
      <c r="G392" s="3" t="str">
        <f t="shared" si="12"/>
        <v>New</v>
      </c>
      <c r="H392" s="3" t="str">
        <f t="shared" si="13"/>
        <v>Mar 2023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 x14ac:dyDescent="0.25">
      <c r="A393" s="1" t="s">
        <v>61</v>
      </c>
      <c r="B393" s="2">
        <v>44715</v>
      </c>
      <c r="C393" s="1">
        <v>332.08</v>
      </c>
      <c r="D393" s="1" t="s">
        <v>21</v>
      </c>
      <c r="E393" s="1" t="s">
        <v>16</v>
      </c>
      <c r="F393" s="3">
        <f>COUNTIF($A$2:A393,A393)-1</f>
        <v>0</v>
      </c>
      <c r="G393" s="3" t="str">
        <f t="shared" si="12"/>
        <v>New</v>
      </c>
      <c r="H393" s="3" t="str">
        <f t="shared" si="13"/>
        <v>Jun 2022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 x14ac:dyDescent="0.25">
      <c r="A394" s="1" t="s">
        <v>61</v>
      </c>
      <c r="B394" s="2">
        <v>44875</v>
      </c>
      <c r="C394" s="1">
        <v>515.64</v>
      </c>
      <c r="D394" s="1" t="s">
        <v>6</v>
      </c>
      <c r="E394" s="1" t="s">
        <v>13</v>
      </c>
      <c r="F394" s="3">
        <f>COUNTIF($A$2:A394,A394)-1</f>
        <v>1</v>
      </c>
      <c r="G394" s="3" t="str">
        <f t="shared" si="12"/>
        <v>Active</v>
      </c>
      <c r="H394" s="3" t="str">
        <f t="shared" si="13"/>
        <v>Nov 2022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 x14ac:dyDescent="0.25">
      <c r="A395" s="1" t="s">
        <v>61</v>
      </c>
      <c r="B395" s="2">
        <v>45147</v>
      </c>
      <c r="C395" s="1">
        <v>323.75</v>
      </c>
      <c r="D395" s="1" t="s">
        <v>12</v>
      </c>
      <c r="E395" s="1" t="s">
        <v>10</v>
      </c>
      <c r="F395" s="3">
        <f>COUNTIF($A$2:A395,A395)-1</f>
        <v>2</v>
      </c>
      <c r="G395" s="3" t="str">
        <f t="shared" si="12"/>
        <v>Active</v>
      </c>
      <c r="H395" s="3" t="str">
        <f t="shared" si="13"/>
        <v>Aug 2023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 x14ac:dyDescent="0.25">
      <c r="A396" s="1" t="s">
        <v>61</v>
      </c>
      <c r="B396" s="2">
        <v>45636</v>
      </c>
      <c r="C396" s="1">
        <v>623.92999999999995</v>
      </c>
      <c r="D396" s="1" t="s">
        <v>15</v>
      </c>
      <c r="E396" s="1" t="s">
        <v>10</v>
      </c>
      <c r="F396" s="3">
        <f>COUNTIF($A$2:A396,A396)-1</f>
        <v>3</v>
      </c>
      <c r="G396" s="3" t="str">
        <f t="shared" si="12"/>
        <v>Active</v>
      </c>
      <c r="H396" s="3" t="str">
        <f t="shared" si="13"/>
        <v>Dec 2024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 x14ac:dyDescent="0.25">
      <c r="A397" s="1" t="s">
        <v>47</v>
      </c>
      <c r="B397" s="2">
        <v>44667</v>
      </c>
      <c r="C397" s="1">
        <v>130.82</v>
      </c>
      <c r="D397" s="1" t="s">
        <v>15</v>
      </c>
      <c r="E397" s="1" t="s">
        <v>7</v>
      </c>
      <c r="F397" s="3">
        <f>COUNTIF($A$2:A397,A397)-1</f>
        <v>0</v>
      </c>
      <c r="G397" s="3" t="str">
        <f t="shared" si="12"/>
        <v>New</v>
      </c>
      <c r="H397" s="3" t="str">
        <f t="shared" si="13"/>
        <v>Apr 2022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 x14ac:dyDescent="0.25">
      <c r="A398" s="1" t="s">
        <v>47</v>
      </c>
      <c r="B398" s="2">
        <v>44780</v>
      </c>
      <c r="C398" s="1">
        <v>128.4</v>
      </c>
      <c r="D398" s="1" t="s">
        <v>6</v>
      </c>
      <c r="E398" s="1" t="s">
        <v>13</v>
      </c>
      <c r="F398" s="3">
        <f>COUNTIF($A$2:A398,A398)-1</f>
        <v>1</v>
      </c>
      <c r="G398" s="3" t="str">
        <f t="shared" si="12"/>
        <v>Active</v>
      </c>
      <c r="H398" s="3" t="str">
        <f t="shared" si="13"/>
        <v>Aug 2022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 x14ac:dyDescent="0.25">
      <c r="A399" s="1" t="s">
        <v>47</v>
      </c>
      <c r="B399" s="2">
        <v>45239</v>
      </c>
      <c r="C399" s="1">
        <v>536.04</v>
      </c>
      <c r="D399" s="1" t="s">
        <v>21</v>
      </c>
      <c r="E399" s="1" t="s">
        <v>10</v>
      </c>
      <c r="F399" s="3">
        <f>COUNTIF($A$2:A399,A399)-1</f>
        <v>2</v>
      </c>
      <c r="G399" s="3" t="str">
        <f t="shared" si="12"/>
        <v>Active</v>
      </c>
      <c r="H399" s="3" t="str">
        <f t="shared" si="13"/>
        <v>Nov 2023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 x14ac:dyDescent="0.25">
      <c r="A400" s="1" t="s">
        <v>47</v>
      </c>
      <c r="B400" s="2">
        <v>45249</v>
      </c>
      <c r="C400" s="1">
        <v>976.09</v>
      </c>
      <c r="D400" s="1" t="s">
        <v>12</v>
      </c>
      <c r="E400" s="1" t="s">
        <v>13</v>
      </c>
      <c r="F400" s="3">
        <f>COUNTIF($A$2:A400,A400)-1</f>
        <v>3</v>
      </c>
      <c r="G400" s="3" t="str">
        <f t="shared" si="12"/>
        <v>Active</v>
      </c>
      <c r="H400" s="3" t="str">
        <f t="shared" si="13"/>
        <v>Nov 2023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 x14ac:dyDescent="0.25">
      <c r="A401" s="1" t="s">
        <v>47</v>
      </c>
      <c r="B401" s="2">
        <v>45464</v>
      </c>
      <c r="C401" s="1">
        <v>753.36</v>
      </c>
      <c r="D401" s="1" t="s">
        <v>6</v>
      </c>
      <c r="E401" s="1" t="s">
        <v>10</v>
      </c>
      <c r="F401" s="3">
        <f>COUNTIF($A$2:A401,A401)-1</f>
        <v>4</v>
      </c>
      <c r="G401" s="3" t="str">
        <f t="shared" si="12"/>
        <v>Active</v>
      </c>
      <c r="H401" s="3" t="str">
        <f t="shared" si="13"/>
        <v>Jun 2024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 x14ac:dyDescent="0.25">
      <c r="A402" s="1" t="s">
        <v>71</v>
      </c>
      <c r="B402" s="2">
        <v>44737</v>
      </c>
      <c r="C402" s="1">
        <v>206.73</v>
      </c>
      <c r="D402" s="1" t="s">
        <v>9</v>
      </c>
      <c r="E402" s="1" t="s">
        <v>10</v>
      </c>
      <c r="F402" s="3">
        <f>COUNTIF($A$2:A402,A402)-1</f>
        <v>0</v>
      </c>
      <c r="G402" s="3" t="str">
        <f t="shared" si="12"/>
        <v>New</v>
      </c>
      <c r="H402" s="3" t="str">
        <f t="shared" si="13"/>
        <v>Jun 2022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 x14ac:dyDescent="0.25">
      <c r="A403" s="1" t="s">
        <v>71</v>
      </c>
      <c r="B403" s="2">
        <v>45109</v>
      </c>
      <c r="C403" s="1">
        <v>796.86</v>
      </c>
      <c r="D403" s="1" t="s">
        <v>21</v>
      </c>
      <c r="E403" s="1" t="s">
        <v>13</v>
      </c>
      <c r="F403" s="3">
        <f>COUNTIF($A$2:A403,A403)-1</f>
        <v>1</v>
      </c>
      <c r="G403" s="3" t="str">
        <f t="shared" si="12"/>
        <v>Active</v>
      </c>
      <c r="H403" s="3" t="str">
        <f t="shared" si="13"/>
        <v>Jul 2023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 x14ac:dyDescent="0.25">
      <c r="A404" s="1" t="s">
        <v>91</v>
      </c>
      <c r="B404" s="2">
        <v>44853</v>
      </c>
      <c r="C404" s="1">
        <v>805.64</v>
      </c>
      <c r="D404" s="1" t="s">
        <v>15</v>
      </c>
      <c r="E404" s="1" t="s">
        <v>10</v>
      </c>
      <c r="F404" s="3">
        <f>COUNTIF($A$2:A404,A404)-1</f>
        <v>0</v>
      </c>
      <c r="G404" s="3" t="str">
        <f t="shared" si="12"/>
        <v>New</v>
      </c>
      <c r="H404" s="3" t="str">
        <f t="shared" si="13"/>
        <v>Oct 2022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 x14ac:dyDescent="0.25">
      <c r="A405" s="1" t="s">
        <v>91</v>
      </c>
      <c r="B405" s="2">
        <v>45074</v>
      </c>
      <c r="C405" s="1">
        <v>715.06</v>
      </c>
      <c r="D405" s="1" t="s">
        <v>6</v>
      </c>
      <c r="E405" s="1" t="s">
        <v>16</v>
      </c>
      <c r="F405" s="3">
        <f>COUNTIF($A$2:A405,A405)-1</f>
        <v>1</v>
      </c>
      <c r="G405" s="3" t="str">
        <f t="shared" si="12"/>
        <v>Active</v>
      </c>
      <c r="H405" s="3" t="str">
        <f t="shared" si="13"/>
        <v>May 2023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 x14ac:dyDescent="0.25">
      <c r="A406" s="1" t="s">
        <v>91</v>
      </c>
      <c r="B406" s="2">
        <v>45573</v>
      </c>
      <c r="C406" s="1">
        <v>963.59</v>
      </c>
      <c r="D406" s="1" t="s">
        <v>15</v>
      </c>
      <c r="E406" s="1" t="s">
        <v>7</v>
      </c>
      <c r="F406" s="3">
        <f>COUNTIF($A$2:A406,A406)-1</f>
        <v>2</v>
      </c>
      <c r="G406" s="3" t="str">
        <f t="shared" si="12"/>
        <v>Active</v>
      </c>
      <c r="H406" s="3" t="str">
        <f t="shared" si="13"/>
        <v>Oct 2024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 x14ac:dyDescent="0.25">
      <c r="A407" s="1" t="s">
        <v>157</v>
      </c>
      <c r="B407" s="2">
        <v>45461</v>
      </c>
      <c r="C407" s="1">
        <v>931.45</v>
      </c>
      <c r="D407" s="1" t="s">
        <v>15</v>
      </c>
      <c r="E407" s="1" t="s">
        <v>7</v>
      </c>
      <c r="F407" s="3">
        <f>COUNTIF($A$2:A407,A407)-1</f>
        <v>0</v>
      </c>
      <c r="G407" s="3" t="str">
        <f t="shared" si="12"/>
        <v>New</v>
      </c>
      <c r="H407" s="3" t="str">
        <f t="shared" si="13"/>
        <v>Jun 2024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 x14ac:dyDescent="0.25">
      <c r="A408" s="1" t="s">
        <v>112</v>
      </c>
      <c r="B408" s="2">
        <v>44959</v>
      </c>
      <c r="C408" s="1">
        <v>637.19000000000005</v>
      </c>
      <c r="D408" s="1" t="s">
        <v>9</v>
      </c>
      <c r="E408" s="1" t="s">
        <v>7</v>
      </c>
      <c r="F408" s="3">
        <f>COUNTIF($A$2:A408,A408)-1</f>
        <v>0</v>
      </c>
      <c r="G408" s="3" t="str">
        <f t="shared" si="12"/>
        <v>New</v>
      </c>
      <c r="H408" s="3" t="str">
        <f t="shared" si="13"/>
        <v>Feb 2023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 x14ac:dyDescent="0.25">
      <c r="A409" s="1" t="s">
        <v>112</v>
      </c>
      <c r="B409" s="2">
        <v>45059</v>
      </c>
      <c r="C409" s="1">
        <v>899.57</v>
      </c>
      <c r="D409" s="1" t="s">
        <v>15</v>
      </c>
      <c r="E409" s="1" t="s">
        <v>10</v>
      </c>
      <c r="F409" s="3">
        <f>COUNTIF($A$2:A409,A409)-1</f>
        <v>1</v>
      </c>
      <c r="G409" s="3" t="str">
        <f t="shared" si="12"/>
        <v>Active</v>
      </c>
      <c r="H409" s="3" t="str">
        <f t="shared" si="13"/>
        <v>May 2023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 x14ac:dyDescent="0.25">
      <c r="A410" s="1" t="s">
        <v>112</v>
      </c>
      <c r="B410" s="2">
        <v>45061</v>
      </c>
      <c r="C410" s="1">
        <v>19.11</v>
      </c>
      <c r="D410" s="1" t="s">
        <v>12</v>
      </c>
      <c r="E410" s="1" t="s">
        <v>13</v>
      </c>
      <c r="F410" s="3">
        <f>COUNTIF($A$2:A410,A410)-1</f>
        <v>2</v>
      </c>
      <c r="G410" s="3" t="str">
        <f t="shared" si="12"/>
        <v>Active</v>
      </c>
      <c r="H410" s="3" t="str">
        <f t="shared" si="13"/>
        <v>May 2023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 x14ac:dyDescent="0.25">
      <c r="A411" s="1" t="s">
        <v>112</v>
      </c>
      <c r="B411" s="2">
        <v>45582</v>
      </c>
      <c r="C411" s="1">
        <v>532.41999999999996</v>
      </c>
      <c r="D411" s="1" t="s">
        <v>15</v>
      </c>
      <c r="E411" s="1" t="s">
        <v>13</v>
      </c>
      <c r="F411" s="3">
        <f>COUNTIF($A$2:A411,A411)-1</f>
        <v>3</v>
      </c>
      <c r="G411" s="3" t="str">
        <f t="shared" si="12"/>
        <v>Active</v>
      </c>
      <c r="H411" s="3" t="str">
        <f t="shared" si="13"/>
        <v>Oct 2024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 x14ac:dyDescent="0.25">
      <c r="A412" s="1" t="s">
        <v>112</v>
      </c>
      <c r="B412" s="2">
        <v>45630</v>
      </c>
      <c r="C412" s="1">
        <v>891.36</v>
      </c>
      <c r="D412" s="1" t="s">
        <v>12</v>
      </c>
      <c r="E412" s="1" t="s">
        <v>7</v>
      </c>
      <c r="F412" s="3">
        <f>COUNTIF($A$2:A412,A412)-1</f>
        <v>4</v>
      </c>
      <c r="G412" s="3" t="str">
        <f t="shared" si="12"/>
        <v>Active</v>
      </c>
      <c r="H412" s="3" t="str">
        <f t="shared" si="13"/>
        <v>Dec 2024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 x14ac:dyDescent="0.25">
      <c r="A413" s="1" t="s">
        <v>142</v>
      </c>
      <c r="B413" s="2">
        <v>45175</v>
      </c>
      <c r="C413" s="1">
        <v>811.27</v>
      </c>
      <c r="D413" s="1" t="s">
        <v>12</v>
      </c>
      <c r="E413" s="1" t="s">
        <v>16</v>
      </c>
      <c r="F413" s="3">
        <f>COUNTIF($A$2:A413,A413)-1</f>
        <v>0</v>
      </c>
      <c r="G413" s="3" t="str">
        <f t="shared" si="12"/>
        <v>New</v>
      </c>
      <c r="H413" s="3" t="str">
        <f t="shared" si="13"/>
        <v>Sept 2023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 x14ac:dyDescent="0.25">
      <c r="A414" s="1" t="s">
        <v>138</v>
      </c>
      <c r="B414" s="2">
        <v>45129</v>
      </c>
      <c r="C414" s="1">
        <v>25.3</v>
      </c>
      <c r="D414" s="1" t="s">
        <v>15</v>
      </c>
      <c r="E414" s="1" t="s">
        <v>13</v>
      </c>
      <c r="F414" s="3">
        <f>COUNTIF($A$2:A414,A414)-1</f>
        <v>0</v>
      </c>
      <c r="G414" s="3" t="str">
        <f t="shared" si="12"/>
        <v>New</v>
      </c>
      <c r="H414" s="3" t="str">
        <f t="shared" si="13"/>
        <v>Jul 2023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 x14ac:dyDescent="0.25">
      <c r="A415" s="1" t="s">
        <v>110</v>
      </c>
      <c r="B415" s="2">
        <v>44948</v>
      </c>
      <c r="C415" s="1">
        <v>764</v>
      </c>
      <c r="D415" s="1" t="s">
        <v>21</v>
      </c>
      <c r="E415" s="1" t="s">
        <v>10</v>
      </c>
      <c r="F415" s="3">
        <f>COUNTIF($A$2:A415,A415)-1</f>
        <v>0</v>
      </c>
      <c r="G415" s="3" t="str">
        <f t="shared" si="12"/>
        <v>New</v>
      </c>
      <c r="H415" s="3" t="str">
        <f t="shared" si="13"/>
        <v>Jan 2023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 x14ac:dyDescent="0.25">
      <c r="A416" s="1" t="s">
        <v>110</v>
      </c>
      <c r="B416" s="2">
        <v>45051</v>
      </c>
      <c r="C416" s="1">
        <v>898.14</v>
      </c>
      <c r="D416" s="1" t="s">
        <v>12</v>
      </c>
      <c r="E416" s="1" t="s">
        <v>13</v>
      </c>
      <c r="F416" s="3">
        <f>COUNTIF($A$2:A416,A416)-1</f>
        <v>1</v>
      </c>
      <c r="G416" s="3" t="str">
        <f t="shared" si="12"/>
        <v>Active</v>
      </c>
      <c r="H416" s="3" t="str">
        <f t="shared" si="13"/>
        <v>May 2023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 x14ac:dyDescent="0.25">
      <c r="A417" s="1" t="s">
        <v>110</v>
      </c>
      <c r="B417" s="2">
        <v>45128</v>
      </c>
      <c r="C417" s="1">
        <v>376.46</v>
      </c>
      <c r="D417" s="1" t="s">
        <v>9</v>
      </c>
      <c r="E417" s="1" t="s">
        <v>16</v>
      </c>
      <c r="F417" s="3">
        <f>COUNTIF($A$2:A417,A417)-1</f>
        <v>2</v>
      </c>
      <c r="G417" s="3" t="str">
        <f t="shared" si="12"/>
        <v>Active</v>
      </c>
      <c r="H417" s="3" t="str">
        <f t="shared" si="13"/>
        <v>Jul 2023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 x14ac:dyDescent="0.25">
      <c r="A418" s="1" t="s">
        <v>110</v>
      </c>
      <c r="B418" s="2">
        <v>45152</v>
      </c>
      <c r="C418" s="1">
        <v>699.07</v>
      </c>
      <c r="D418" s="1" t="s">
        <v>6</v>
      </c>
      <c r="E418" s="1" t="s">
        <v>10</v>
      </c>
      <c r="F418" s="3">
        <f>COUNTIF($A$2:A418,A418)-1</f>
        <v>3</v>
      </c>
      <c r="G418" s="3" t="str">
        <f t="shared" si="12"/>
        <v>Active</v>
      </c>
      <c r="H418" s="3" t="str">
        <f t="shared" si="13"/>
        <v>Aug 2023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 x14ac:dyDescent="0.25">
      <c r="A419" s="1" t="s">
        <v>105</v>
      </c>
      <c r="B419" s="2">
        <v>44920</v>
      </c>
      <c r="C419" s="1">
        <v>613.47</v>
      </c>
      <c r="D419" s="1" t="s">
        <v>12</v>
      </c>
      <c r="E419" s="1" t="s">
        <v>7</v>
      </c>
      <c r="F419" s="3">
        <f>COUNTIF($A$2:A419,A419)-1</f>
        <v>0</v>
      </c>
      <c r="G419" s="3" t="str">
        <f t="shared" si="12"/>
        <v>New</v>
      </c>
      <c r="H419" s="3" t="str">
        <f t="shared" si="13"/>
        <v>Dec 2022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 x14ac:dyDescent="0.25">
      <c r="A420" s="1" t="s">
        <v>105</v>
      </c>
      <c r="B420" s="2">
        <v>45346</v>
      </c>
      <c r="C420" s="1">
        <v>478.74</v>
      </c>
      <c r="D420" s="1" t="s">
        <v>21</v>
      </c>
      <c r="E420" s="1" t="s">
        <v>16</v>
      </c>
      <c r="F420" s="3">
        <f>COUNTIF($A$2:A420,A420)-1</f>
        <v>1</v>
      </c>
      <c r="G420" s="3" t="str">
        <f t="shared" si="12"/>
        <v>Active</v>
      </c>
      <c r="H420" s="3" t="str">
        <f t="shared" si="13"/>
        <v>Feb 2024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 x14ac:dyDescent="0.25">
      <c r="A421" s="1" t="s">
        <v>88</v>
      </c>
      <c r="B421" s="2">
        <v>44820</v>
      </c>
      <c r="C421" s="1">
        <v>416.28</v>
      </c>
      <c r="D421" s="1" t="s">
        <v>21</v>
      </c>
      <c r="E421" s="1" t="s">
        <v>16</v>
      </c>
      <c r="F421" s="3">
        <f>COUNTIF($A$2:A421,A421)-1</f>
        <v>0</v>
      </c>
      <c r="G421" s="3" t="str">
        <f t="shared" si="12"/>
        <v>New</v>
      </c>
      <c r="H421" s="3" t="str">
        <f t="shared" si="13"/>
        <v>Sept 2022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 x14ac:dyDescent="0.25">
      <c r="A422" s="1" t="s">
        <v>88</v>
      </c>
      <c r="B422" s="2">
        <v>45653</v>
      </c>
      <c r="C422" s="1">
        <v>587.82000000000005</v>
      </c>
      <c r="D422" s="1" t="s">
        <v>21</v>
      </c>
      <c r="E422" s="1" t="s">
        <v>10</v>
      </c>
      <c r="F422" s="3">
        <f>COUNTIF($A$2:A422,A422)-1</f>
        <v>1</v>
      </c>
      <c r="G422" s="3" t="str">
        <f t="shared" si="12"/>
        <v>Active</v>
      </c>
      <c r="H422" s="3" t="str">
        <f t="shared" si="13"/>
        <v>Dec 2024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 x14ac:dyDescent="0.25">
      <c r="A423" s="1" t="s">
        <v>81</v>
      </c>
      <c r="B423" s="2">
        <v>44778</v>
      </c>
      <c r="C423" s="1">
        <v>888.34</v>
      </c>
      <c r="D423" s="1" t="s">
        <v>21</v>
      </c>
      <c r="E423" s="1" t="s">
        <v>13</v>
      </c>
      <c r="F423" s="3">
        <f>COUNTIF($A$2:A423,A423)-1</f>
        <v>0</v>
      </c>
      <c r="G423" s="3" t="str">
        <f t="shared" si="12"/>
        <v>New</v>
      </c>
      <c r="H423" s="3" t="str">
        <f t="shared" si="13"/>
        <v>Aug 2022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 x14ac:dyDescent="0.25">
      <c r="A424" s="1" t="s">
        <v>98</v>
      </c>
      <c r="B424" s="2">
        <v>44882</v>
      </c>
      <c r="C424" s="1">
        <v>128.66999999999999</v>
      </c>
      <c r="D424" s="1" t="s">
        <v>6</v>
      </c>
      <c r="E424" s="1" t="s">
        <v>13</v>
      </c>
      <c r="F424" s="3">
        <f>COUNTIF($A$2:A424,A424)-1</f>
        <v>0</v>
      </c>
      <c r="G424" s="3" t="str">
        <f t="shared" si="12"/>
        <v>New</v>
      </c>
      <c r="H424" s="3" t="str">
        <f t="shared" si="13"/>
        <v>Nov 2022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 x14ac:dyDescent="0.25">
      <c r="A425" s="1" t="s">
        <v>98</v>
      </c>
      <c r="B425" s="2">
        <v>45179</v>
      </c>
      <c r="C425" s="1">
        <v>812.01</v>
      </c>
      <c r="D425" s="1" t="s">
        <v>21</v>
      </c>
      <c r="E425" s="1" t="s">
        <v>13</v>
      </c>
      <c r="F425" s="3">
        <f>COUNTIF($A$2:A425,A425)-1</f>
        <v>1</v>
      </c>
      <c r="G425" s="3" t="str">
        <f t="shared" si="12"/>
        <v>Active</v>
      </c>
      <c r="H425" s="3" t="str">
        <f t="shared" si="13"/>
        <v>Sept 2023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 x14ac:dyDescent="0.25">
      <c r="A426" s="1" t="s">
        <v>29</v>
      </c>
      <c r="B426" s="2">
        <v>44603</v>
      </c>
      <c r="C426" s="1">
        <v>191.57</v>
      </c>
      <c r="D426" s="1" t="s">
        <v>15</v>
      </c>
      <c r="E426" s="1" t="s">
        <v>10</v>
      </c>
      <c r="F426" s="3">
        <f>COUNTIF($A$2:A426,A426)-1</f>
        <v>0</v>
      </c>
      <c r="G426" s="3" t="str">
        <f t="shared" si="12"/>
        <v>New</v>
      </c>
      <c r="H426" s="3" t="str">
        <f t="shared" si="13"/>
        <v>Feb 2022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 x14ac:dyDescent="0.25">
      <c r="A427" s="1" t="s">
        <v>29</v>
      </c>
      <c r="B427" s="2">
        <v>44885</v>
      </c>
      <c r="C427" s="1">
        <v>943.48</v>
      </c>
      <c r="D427" s="1" t="s">
        <v>12</v>
      </c>
      <c r="E427" s="1" t="s">
        <v>10</v>
      </c>
      <c r="F427" s="3">
        <f>COUNTIF($A$2:A427,A427)-1</f>
        <v>1</v>
      </c>
      <c r="G427" s="3" t="str">
        <f t="shared" si="12"/>
        <v>Active</v>
      </c>
      <c r="H427" s="3" t="str">
        <f t="shared" si="13"/>
        <v>Nov 2022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 x14ac:dyDescent="0.25">
      <c r="A428" s="1" t="s">
        <v>29</v>
      </c>
      <c r="B428" s="2">
        <v>44891</v>
      </c>
      <c r="C428" s="1">
        <v>705.99</v>
      </c>
      <c r="D428" s="1" t="s">
        <v>6</v>
      </c>
      <c r="E428" s="1" t="s">
        <v>7</v>
      </c>
      <c r="F428" s="3">
        <f>COUNTIF($A$2:A428,A428)-1</f>
        <v>2</v>
      </c>
      <c r="G428" s="3" t="str">
        <f t="shared" si="12"/>
        <v>Active</v>
      </c>
      <c r="H428" s="3" t="str">
        <f t="shared" si="13"/>
        <v>Nov 2022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 x14ac:dyDescent="0.25">
      <c r="A429" s="1" t="s">
        <v>29</v>
      </c>
      <c r="B429" s="2">
        <v>45259</v>
      </c>
      <c r="C429" s="1">
        <v>87.67</v>
      </c>
      <c r="D429" s="1" t="s">
        <v>9</v>
      </c>
      <c r="E429" s="1" t="s">
        <v>16</v>
      </c>
      <c r="F429" s="3">
        <f>COUNTIF($A$2:A429,A429)-1</f>
        <v>3</v>
      </c>
      <c r="G429" s="3" t="str">
        <f t="shared" si="12"/>
        <v>Active</v>
      </c>
      <c r="H429" s="3" t="str">
        <f t="shared" si="13"/>
        <v>Nov 2023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 x14ac:dyDescent="0.25">
      <c r="A430" s="1" t="s">
        <v>29</v>
      </c>
      <c r="B430" s="2">
        <v>45345</v>
      </c>
      <c r="C430" s="1">
        <v>496.7</v>
      </c>
      <c r="D430" s="1" t="s">
        <v>21</v>
      </c>
      <c r="E430" s="1" t="s">
        <v>7</v>
      </c>
      <c r="F430" s="3">
        <f>COUNTIF($A$2:A430,A430)-1</f>
        <v>4</v>
      </c>
      <c r="G430" s="3" t="str">
        <f t="shared" si="12"/>
        <v>Active</v>
      </c>
      <c r="H430" s="3" t="str">
        <f t="shared" si="13"/>
        <v>Feb 2024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 x14ac:dyDescent="0.25">
      <c r="A431" s="1" t="s">
        <v>29</v>
      </c>
      <c r="B431" s="2">
        <v>45534</v>
      </c>
      <c r="C431" s="1">
        <v>986.14</v>
      </c>
      <c r="D431" s="1" t="s">
        <v>9</v>
      </c>
      <c r="E431" s="1" t="s">
        <v>16</v>
      </c>
      <c r="F431" s="3">
        <f>COUNTIF($A$2:A431,A431)-1</f>
        <v>5</v>
      </c>
      <c r="G431" s="3" t="str">
        <f t="shared" si="12"/>
        <v>Power User</v>
      </c>
      <c r="H431" s="3" t="str">
        <f t="shared" si="13"/>
        <v>Aug 2024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 x14ac:dyDescent="0.25">
      <c r="A432" s="1" t="s">
        <v>87</v>
      </c>
      <c r="B432" s="2">
        <v>44816</v>
      </c>
      <c r="C432" s="1">
        <v>256.8</v>
      </c>
      <c r="D432" s="1" t="s">
        <v>15</v>
      </c>
      <c r="E432" s="1" t="s">
        <v>13</v>
      </c>
      <c r="F432" s="3">
        <f>COUNTIF($A$2:A432,A432)-1</f>
        <v>0</v>
      </c>
      <c r="G432" s="3" t="str">
        <f t="shared" si="12"/>
        <v>New</v>
      </c>
      <c r="H432" s="3" t="str">
        <f t="shared" si="13"/>
        <v>Sept 2022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 x14ac:dyDescent="0.25">
      <c r="A433" s="1" t="s">
        <v>87</v>
      </c>
      <c r="B433" s="2">
        <v>45184</v>
      </c>
      <c r="C433" s="1">
        <v>506.5</v>
      </c>
      <c r="D433" s="1" t="s">
        <v>6</v>
      </c>
      <c r="E433" s="1" t="s">
        <v>16</v>
      </c>
      <c r="F433" s="3">
        <f>COUNTIF($A$2:A433,A433)-1</f>
        <v>1</v>
      </c>
      <c r="G433" s="3" t="str">
        <f t="shared" si="12"/>
        <v>Active</v>
      </c>
      <c r="H433" s="3" t="str">
        <f t="shared" si="13"/>
        <v>Sept 2023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 x14ac:dyDescent="0.25">
      <c r="A434" s="1" t="s">
        <v>87</v>
      </c>
      <c r="B434" s="2">
        <v>45485</v>
      </c>
      <c r="C434" s="1">
        <v>950.56</v>
      </c>
      <c r="D434" s="1" t="s">
        <v>12</v>
      </c>
      <c r="E434" s="1" t="s">
        <v>7</v>
      </c>
      <c r="F434" s="3">
        <f>COUNTIF($A$2:A434,A434)-1</f>
        <v>2</v>
      </c>
      <c r="G434" s="3" t="str">
        <f t="shared" si="12"/>
        <v>Active</v>
      </c>
      <c r="H434" s="3" t="str">
        <f t="shared" si="13"/>
        <v>Jul 2024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 x14ac:dyDescent="0.25">
      <c r="A435" s="1" t="s">
        <v>87</v>
      </c>
      <c r="B435" s="2">
        <v>45513</v>
      </c>
      <c r="C435" s="1">
        <v>888.83</v>
      </c>
      <c r="D435" s="1" t="s">
        <v>12</v>
      </c>
      <c r="E435" s="1" t="s">
        <v>7</v>
      </c>
      <c r="F435" s="3">
        <f>COUNTIF($A$2:A435,A435)-1</f>
        <v>3</v>
      </c>
      <c r="G435" s="3" t="str">
        <f t="shared" si="12"/>
        <v>Active</v>
      </c>
      <c r="H435" s="3" t="str">
        <f t="shared" si="13"/>
        <v>Aug 2024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 x14ac:dyDescent="0.25">
      <c r="A436" s="1" t="s">
        <v>87</v>
      </c>
      <c r="B436" s="2">
        <v>45581</v>
      </c>
      <c r="C436" s="1">
        <v>892.23</v>
      </c>
      <c r="D436" s="1" t="s">
        <v>9</v>
      </c>
      <c r="E436" s="1" t="s">
        <v>7</v>
      </c>
      <c r="F436" s="3">
        <f>COUNTIF($A$2:A436,A436)-1</f>
        <v>4</v>
      </c>
      <c r="G436" s="3" t="str">
        <f t="shared" si="12"/>
        <v>Active</v>
      </c>
      <c r="H436" s="3" t="str">
        <f t="shared" si="13"/>
        <v>Oct 2024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 x14ac:dyDescent="0.25">
      <c r="A437" s="1" t="s">
        <v>124</v>
      </c>
      <c r="B437" s="2">
        <v>45042</v>
      </c>
      <c r="C437" s="1">
        <v>345.64</v>
      </c>
      <c r="D437" s="1" t="s">
        <v>6</v>
      </c>
      <c r="E437" s="1" t="s">
        <v>7</v>
      </c>
      <c r="F437" s="3">
        <f>COUNTIF($A$2:A437,A437)-1</f>
        <v>0</v>
      </c>
      <c r="G437" s="3" t="str">
        <f t="shared" si="12"/>
        <v>New</v>
      </c>
      <c r="H437" s="3" t="str">
        <f t="shared" si="13"/>
        <v>Apr 2023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 x14ac:dyDescent="0.25">
      <c r="A438" s="1" t="s">
        <v>124</v>
      </c>
      <c r="B438" s="2">
        <v>45595</v>
      </c>
      <c r="C438" s="1">
        <v>969.61</v>
      </c>
      <c r="D438" s="1" t="s">
        <v>21</v>
      </c>
      <c r="E438" s="1" t="s">
        <v>10</v>
      </c>
      <c r="F438" s="3">
        <f>COUNTIF($A$2:A438,A438)-1</f>
        <v>1</v>
      </c>
      <c r="G438" s="3" t="str">
        <f t="shared" si="12"/>
        <v>Active</v>
      </c>
      <c r="H438" s="3" t="str">
        <f t="shared" si="13"/>
        <v>Oct 2024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 x14ac:dyDescent="0.25">
      <c r="A439" s="1" t="s">
        <v>118</v>
      </c>
      <c r="B439" s="2">
        <v>45008</v>
      </c>
      <c r="C439" s="1">
        <v>182.62</v>
      </c>
      <c r="D439" s="1" t="s">
        <v>12</v>
      </c>
      <c r="E439" s="1" t="s">
        <v>13</v>
      </c>
      <c r="F439" s="3">
        <f>COUNTIF($A$2:A439,A439)-1</f>
        <v>0</v>
      </c>
      <c r="G439" s="3" t="str">
        <f t="shared" si="12"/>
        <v>New</v>
      </c>
      <c r="H439" s="3" t="str">
        <f t="shared" si="13"/>
        <v>Mar 2023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 x14ac:dyDescent="0.25">
      <c r="A440" s="1" t="s">
        <v>146</v>
      </c>
      <c r="B440" s="2">
        <v>45222</v>
      </c>
      <c r="C440" s="1">
        <v>46.97</v>
      </c>
      <c r="D440" s="1" t="s">
        <v>9</v>
      </c>
      <c r="E440" s="1" t="s">
        <v>7</v>
      </c>
      <c r="F440" s="3">
        <f>COUNTIF($A$2:A440,A440)-1</f>
        <v>0</v>
      </c>
      <c r="G440" s="3" t="str">
        <f t="shared" si="12"/>
        <v>New</v>
      </c>
      <c r="H440" s="3" t="str">
        <f t="shared" si="13"/>
        <v>Oct 2023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 x14ac:dyDescent="0.25">
      <c r="A441" s="1" t="s">
        <v>146</v>
      </c>
      <c r="B441" s="2">
        <v>45523</v>
      </c>
      <c r="C441" s="1">
        <v>82.04</v>
      </c>
      <c r="D441" s="1" t="s">
        <v>21</v>
      </c>
      <c r="E441" s="1" t="s">
        <v>13</v>
      </c>
      <c r="F441" s="3">
        <f>COUNTIF($A$2:A441,A441)-1</f>
        <v>1</v>
      </c>
      <c r="G441" s="3" t="str">
        <f t="shared" si="12"/>
        <v>Active</v>
      </c>
      <c r="H441" s="3" t="str">
        <f t="shared" si="13"/>
        <v>Aug 2024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 x14ac:dyDescent="0.25">
      <c r="A442" s="1" t="s">
        <v>92</v>
      </c>
      <c r="B442" s="2">
        <v>44855</v>
      </c>
      <c r="C442" s="1">
        <v>194.7</v>
      </c>
      <c r="D442" s="1" t="s">
        <v>21</v>
      </c>
      <c r="E442" s="1" t="s">
        <v>13</v>
      </c>
      <c r="F442" s="3">
        <f>COUNTIF($A$2:A442,A442)-1</f>
        <v>0</v>
      </c>
      <c r="G442" s="3" t="str">
        <f t="shared" si="12"/>
        <v>New</v>
      </c>
      <c r="H442" s="3" t="str">
        <f t="shared" si="13"/>
        <v>Oct 2022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 x14ac:dyDescent="0.25">
      <c r="A443" s="1" t="s">
        <v>92</v>
      </c>
      <c r="B443" s="2">
        <v>44910</v>
      </c>
      <c r="C443" s="1">
        <v>307.87</v>
      </c>
      <c r="D443" s="1" t="s">
        <v>15</v>
      </c>
      <c r="E443" s="1" t="s">
        <v>13</v>
      </c>
      <c r="F443" s="3">
        <f>COUNTIF($A$2:A443,A443)-1</f>
        <v>1</v>
      </c>
      <c r="G443" s="3" t="str">
        <f t="shared" si="12"/>
        <v>Active</v>
      </c>
      <c r="H443" s="3" t="str">
        <f t="shared" si="13"/>
        <v>Dec 2022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 x14ac:dyDescent="0.25">
      <c r="A444" s="1" t="s">
        <v>92</v>
      </c>
      <c r="B444" s="2">
        <v>44970</v>
      </c>
      <c r="C444" s="1">
        <v>327.57</v>
      </c>
      <c r="D444" s="1" t="s">
        <v>9</v>
      </c>
      <c r="E444" s="1" t="s">
        <v>16</v>
      </c>
      <c r="F444" s="3">
        <f>COUNTIF($A$2:A444,A444)-1</f>
        <v>2</v>
      </c>
      <c r="G444" s="3" t="str">
        <f t="shared" si="12"/>
        <v>Active</v>
      </c>
      <c r="H444" s="3" t="str">
        <f t="shared" si="13"/>
        <v>Feb 2023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 x14ac:dyDescent="0.25">
      <c r="A445" s="1" t="s">
        <v>92</v>
      </c>
      <c r="B445" s="2">
        <v>45180</v>
      </c>
      <c r="C445" s="1">
        <v>868.4</v>
      </c>
      <c r="D445" s="1" t="s">
        <v>12</v>
      </c>
      <c r="E445" s="1" t="s">
        <v>10</v>
      </c>
      <c r="F445" s="3">
        <f>COUNTIF($A$2:A445,A445)-1</f>
        <v>3</v>
      </c>
      <c r="G445" s="3" t="str">
        <f t="shared" si="12"/>
        <v>Active</v>
      </c>
      <c r="H445" s="3" t="str">
        <f t="shared" si="13"/>
        <v>Sept 2023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 x14ac:dyDescent="0.25">
      <c r="A446" s="1" t="s">
        <v>92</v>
      </c>
      <c r="B446" s="2">
        <v>45296</v>
      </c>
      <c r="C446" s="1">
        <v>287.13</v>
      </c>
      <c r="D446" s="1" t="s">
        <v>12</v>
      </c>
      <c r="E446" s="1" t="s">
        <v>16</v>
      </c>
      <c r="F446" s="3">
        <f>COUNTIF($A$2:A446,A446)-1</f>
        <v>4</v>
      </c>
      <c r="G446" s="3" t="str">
        <f t="shared" si="12"/>
        <v>Active</v>
      </c>
      <c r="H446" s="3" t="str">
        <f t="shared" si="13"/>
        <v>Jan 2024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 x14ac:dyDescent="0.25">
      <c r="A447" s="1" t="s">
        <v>70</v>
      </c>
      <c r="B447" s="2">
        <v>44729</v>
      </c>
      <c r="C447" s="1">
        <v>83.81</v>
      </c>
      <c r="D447" s="1" t="s">
        <v>15</v>
      </c>
      <c r="E447" s="1" t="s">
        <v>13</v>
      </c>
      <c r="F447" s="3">
        <f>COUNTIF($A$2:A447,A447)-1</f>
        <v>0</v>
      </c>
      <c r="G447" s="3" t="str">
        <f t="shared" si="12"/>
        <v>New</v>
      </c>
      <c r="H447" s="3" t="str">
        <f t="shared" si="13"/>
        <v>Jun 2022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 x14ac:dyDescent="0.25">
      <c r="A448" s="1" t="s">
        <v>70</v>
      </c>
      <c r="B448" s="2">
        <v>44953</v>
      </c>
      <c r="C448" s="1">
        <v>730.93</v>
      </c>
      <c r="D448" s="1" t="s">
        <v>15</v>
      </c>
      <c r="E448" s="1" t="s">
        <v>7</v>
      </c>
      <c r="F448" s="3">
        <f>COUNTIF($A$2:A448,A448)-1</f>
        <v>1</v>
      </c>
      <c r="G448" s="3" t="str">
        <f t="shared" si="12"/>
        <v>Active</v>
      </c>
      <c r="H448" s="3" t="str">
        <f t="shared" si="13"/>
        <v>Jan 2023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 x14ac:dyDescent="0.25">
      <c r="A449" s="1" t="s">
        <v>48</v>
      </c>
      <c r="B449" s="2">
        <v>44668</v>
      </c>
      <c r="C449" s="1">
        <v>500.23</v>
      </c>
      <c r="D449" s="1" t="s">
        <v>12</v>
      </c>
      <c r="E449" s="1" t="s">
        <v>16</v>
      </c>
      <c r="F449" s="3">
        <f>COUNTIF($A$2:A449,A449)-1</f>
        <v>0</v>
      </c>
      <c r="G449" s="3" t="str">
        <f t="shared" si="12"/>
        <v>New</v>
      </c>
      <c r="H449" s="3" t="str">
        <f t="shared" si="13"/>
        <v>Apr 2022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 x14ac:dyDescent="0.25">
      <c r="A450" s="1" t="s">
        <v>48</v>
      </c>
      <c r="B450" s="2">
        <v>44797</v>
      </c>
      <c r="C450" s="1">
        <v>527.51</v>
      </c>
      <c r="D450" s="1" t="s">
        <v>12</v>
      </c>
      <c r="E450" s="1" t="s">
        <v>7</v>
      </c>
      <c r="F450" s="3">
        <f>COUNTIF($A$2:A450,A450)-1</f>
        <v>1</v>
      </c>
      <c r="G450" s="3" t="str">
        <f t="shared" ref="G450:G513" si="14">IF(F450=0,"New",IF(F450&lt;=4,"Active","Power User"))</f>
        <v>Active</v>
      </c>
      <c r="H450" s="3" t="str">
        <f t="shared" ref="H450:H501" si="15">TEXT(B450,"mmm yyyy")</f>
        <v>Aug 2022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 x14ac:dyDescent="0.25">
      <c r="A451" s="1" t="s">
        <v>48</v>
      </c>
      <c r="B451" s="2">
        <v>44867</v>
      </c>
      <c r="C451" s="1">
        <v>324.82</v>
      </c>
      <c r="D451" s="1" t="s">
        <v>9</v>
      </c>
      <c r="E451" s="1" t="s">
        <v>16</v>
      </c>
      <c r="F451" s="3">
        <f>COUNTIF($A$2:A451,A451)-1</f>
        <v>2</v>
      </c>
      <c r="G451" s="3" t="str">
        <f t="shared" si="14"/>
        <v>Active</v>
      </c>
      <c r="H451" s="3" t="str">
        <f t="shared" si="15"/>
        <v>Nov 2022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 x14ac:dyDescent="0.25">
      <c r="A452" s="1" t="s">
        <v>48</v>
      </c>
      <c r="B452" s="2">
        <v>45094</v>
      </c>
      <c r="C452" s="1">
        <v>272.55</v>
      </c>
      <c r="D452" s="1" t="s">
        <v>15</v>
      </c>
      <c r="E452" s="1" t="s">
        <v>10</v>
      </c>
      <c r="F452" s="3">
        <f>COUNTIF($A$2:A452,A452)-1</f>
        <v>3</v>
      </c>
      <c r="G452" s="3" t="str">
        <f t="shared" si="14"/>
        <v>Active</v>
      </c>
      <c r="H452" s="3" t="str">
        <f t="shared" si="15"/>
        <v>Jun 2023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 x14ac:dyDescent="0.25">
      <c r="A453" s="1" t="s">
        <v>48</v>
      </c>
      <c r="B453" s="2">
        <v>45255</v>
      </c>
      <c r="C453" s="1">
        <v>278.12</v>
      </c>
      <c r="D453" s="1" t="s">
        <v>9</v>
      </c>
      <c r="E453" s="1" t="s">
        <v>16</v>
      </c>
      <c r="F453" s="3">
        <f>COUNTIF($A$2:A453,A453)-1</f>
        <v>4</v>
      </c>
      <c r="G453" s="3" t="str">
        <f t="shared" si="14"/>
        <v>Active</v>
      </c>
      <c r="H453" s="3" t="str">
        <f t="shared" si="15"/>
        <v>Nov 2023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 x14ac:dyDescent="0.25">
      <c r="A454" s="1" t="s">
        <v>48</v>
      </c>
      <c r="B454" s="2">
        <v>45491</v>
      </c>
      <c r="C454" s="1">
        <v>577.70000000000005</v>
      </c>
      <c r="D454" s="1" t="s">
        <v>12</v>
      </c>
      <c r="E454" s="1" t="s">
        <v>16</v>
      </c>
      <c r="F454" s="3">
        <f>COUNTIF($A$2:A454,A454)-1</f>
        <v>5</v>
      </c>
      <c r="G454" s="3" t="str">
        <f t="shared" si="14"/>
        <v>Power User</v>
      </c>
      <c r="H454" s="3" t="str">
        <f t="shared" si="15"/>
        <v>Jul 2024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 x14ac:dyDescent="0.25">
      <c r="A455" s="1" t="s">
        <v>48</v>
      </c>
      <c r="B455" s="2">
        <v>45523</v>
      </c>
      <c r="C455" s="1">
        <v>823.64</v>
      </c>
      <c r="D455" s="1" t="s">
        <v>21</v>
      </c>
      <c r="E455" s="1" t="s">
        <v>10</v>
      </c>
      <c r="F455" s="3">
        <f>COUNTIF($A$2:A455,A455)-1</f>
        <v>6</v>
      </c>
      <c r="G455" s="3" t="str">
        <f t="shared" si="14"/>
        <v>Power User</v>
      </c>
      <c r="H455" s="3" t="str">
        <f t="shared" si="15"/>
        <v>Aug 2024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 x14ac:dyDescent="0.25">
      <c r="A456" s="1" t="s">
        <v>103</v>
      </c>
      <c r="B456" s="2">
        <v>44905</v>
      </c>
      <c r="C456" s="1">
        <v>502.28</v>
      </c>
      <c r="D456" s="1" t="s">
        <v>21</v>
      </c>
      <c r="E456" s="1" t="s">
        <v>10</v>
      </c>
      <c r="F456" s="3">
        <f>COUNTIF($A$2:A456,A456)-1</f>
        <v>0</v>
      </c>
      <c r="G456" s="3" t="str">
        <f t="shared" si="14"/>
        <v>New</v>
      </c>
      <c r="H456" s="3" t="str">
        <f t="shared" si="15"/>
        <v>Dec 2022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 x14ac:dyDescent="0.25">
      <c r="A457" s="1" t="s">
        <v>103</v>
      </c>
      <c r="B457" s="2">
        <v>44987</v>
      </c>
      <c r="C457" s="1">
        <v>594.98</v>
      </c>
      <c r="D457" s="1" t="s">
        <v>12</v>
      </c>
      <c r="E457" s="1" t="s">
        <v>7</v>
      </c>
      <c r="F457" s="3">
        <f>COUNTIF($A$2:A457,A457)-1</f>
        <v>1</v>
      </c>
      <c r="G457" s="3" t="str">
        <f t="shared" si="14"/>
        <v>Active</v>
      </c>
      <c r="H457" s="3" t="str">
        <f t="shared" si="15"/>
        <v>Mar 2023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 x14ac:dyDescent="0.25">
      <c r="A458" s="1" t="s">
        <v>103</v>
      </c>
      <c r="B458" s="2">
        <v>45053</v>
      </c>
      <c r="C458" s="1">
        <v>782.08</v>
      </c>
      <c r="D458" s="1" t="s">
        <v>15</v>
      </c>
      <c r="E458" s="1" t="s">
        <v>16</v>
      </c>
      <c r="F458" s="3">
        <f>COUNTIF($A$2:A458,A458)-1</f>
        <v>2</v>
      </c>
      <c r="G458" s="3" t="str">
        <f t="shared" si="14"/>
        <v>Active</v>
      </c>
      <c r="H458" s="3" t="str">
        <f t="shared" si="15"/>
        <v>May 2023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 x14ac:dyDescent="0.25">
      <c r="A459" s="1" t="s">
        <v>103</v>
      </c>
      <c r="B459" s="2">
        <v>45120</v>
      </c>
      <c r="C459" s="1">
        <v>34.07</v>
      </c>
      <c r="D459" s="1" t="s">
        <v>21</v>
      </c>
      <c r="E459" s="1" t="s">
        <v>10</v>
      </c>
      <c r="F459" s="3">
        <f>COUNTIF($A$2:A459,A459)-1</f>
        <v>3</v>
      </c>
      <c r="G459" s="3" t="str">
        <f t="shared" si="14"/>
        <v>Active</v>
      </c>
      <c r="H459" s="3" t="str">
        <f t="shared" si="15"/>
        <v>Jul 2023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 x14ac:dyDescent="0.25">
      <c r="A460" s="1" t="s">
        <v>103</v>
      </c>
      <c r="B460" s="2">
        <v>45164</v>
      </c>
      <c r="C460" s="1">
        <v>878.6</v>
      </c>
      <c r="D460" s="1" t="s">
        <v>12</v>
      </c>
      <c r="E460" s="1" t="s">
        <v>13</v>
      </c>
      <c r="F460" s="3">
        <f>COUNTIF($A$2:A460,A460)-1</f>
        <v>4</v>
      </c>
      <c r="G460" s="3" t="str">
        <f t="shared" si="14"/>
        <v>Active</v>
      </c>
      <c r="H460" s="3" t="str">
        <f t="shared" si="15"/>
        <v>Aug 2023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 x14ac:dyDescent="0.25">
      <c r="A461" s="1" t="s">
        <v>20</v>
      </c>
      <c r="B461" s="2">
        <v>44587</v>
      </c>
      <c r="C461" s="1">
        <v>867.51</v>
      </c>
      <c r="D461" s="1" t="s">
        <v>21</v>
      </c>
      <c r="E461" s="1" t="s">
        <v>7</v>
      </c>
      <c r="F461" s="3">
        <f>COUNTIF($A$2:A461,A461)-1</f>
        <v>0</v>
      </c>
      <c r="G461" s="3" t="str">
        <f t="shared" si="14"/>
        <v>New</v>
      </c>
      <c r="H461" s="3" t="str">
        <f t="shared" si="15"/>
        <v>Jan 2022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 x14ac:dyDescent="0.25">
      <c r="A462" s="1" t="s">
        <v>20</v>
      </c>
      <c r="B462" s="2">
        <v>44617</v>
      </c>
      <c r="C462" s="1">
        <v>298.32</v>
      </c>
      <c r="D462" s="1" t="s">
        <v>6</v>
      </c>
      <c r="E462" s="1" t="s">
        <v>13</v>
      </c>
      <c r="F462" s="3">
        <f>COUNTIF($A$2:A462,A462)-1</f>
        <v>1</v>
      </c>
      <c r="G462" s="3" t="str">
        <f t="shared" si="14"/>
        <v>Active</v>
      </c>
      <c r="H462" s="3" t="str">
        <f t="shared" si="15"/>
        <v>Feb 2022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 x14ac:dyDescent="0.25">
      <c r="A463" s="1" t="s">
        <v>20</v>
      </c>
      <c r="B463" s="2">
        <v>45282</v>
      </c>
      <c r="C463" s="1">
        <v>717.45</v>
      </c>
      <c r="D463" s="1" t="s">
        <v>21</v>
      </c>
      <c r="E463" s="1" t="s">
        <v>10</v>
      </c>
      <c r="F463" s="3">
        <f>COUNTIF($A$2:A463,A463)-1</f>
        <v>2</v>
      </c>
      <c r="G463" s="3" t="str">
        <f t="shared" si="14"/>
        <v>Active</v>
      </c>
      <c r="H463" s="3" t="str">
        <f t="shared" si="15"/>
        <v>Dec 2023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 x14ac:dyDescent="0.25">
      <c r="A464" s="1" t="s">
        <v>20</v>
      </c>
      <c r="B464" s="2">
        <v>45398</v>
      </c>
      <c r="C464" s="1">
        <v>646.86</v>
      </c>
      <c r="D464" s="1" t="s">
        <v>9</v>
      </c>
      <c r="E464" s="1" t="s">
        <v>13</v>
      </c>
      <c r="F464" s="3">
        <f>COUNTIF($A$2:A464,A464)-1</f>
        <v>3</v>
      </c>
      <c r="G464" s="3" t="str">
        <f t="shared" si="14"/>
        <v>Active</v>
      </c>
      <c r="H464" s="3" t="str">
        <f t="shared" si="15"/>
        <v>Apr 2024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 x14ac:dyDescent="0.25">
      <c r="A465" s="1" t="s">
        <v>113</v>
      </c>
      <c r="B465" s="2">
        <v>44967</v>
      </c>
      <c r="C465" s="1">
        <v>540.41999999999996</v>
      </c>
      <c r="D465" s="1" t="s">
        <v>12</v>
      </c>
      <c r="E465" s="1" t="s">
        <v>13</v>
      </c>
      <c r="F465" s="3">
        <f>COUNTIF($A$2:A465,A465)-1</f>
        <v>0</v>
      </c>
      <c r="G465" s="3" t="str">
        <f t="shared" si="14"/>
        <v>New</v>
      </c>
      <c r="H465" s="3" t="str">
        <f t="shared" si="15"/>
        <v>Feb 2023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 x14ac:dyDescent="0.25">
      <c r="A466" s="1" t="s">
        <v>113</v>
      </c>
      <c r="B466" s="2">
        <v>45116</v>
      </c>
      <c r="C466" s="1">
        <v>203.29</v>
      </c>
      <c r="D466" s="1" t="s">
        <v>15</v>
      </c>
      <c r="E466" s="1" t="s">
        <v>10</v>
      </c>
      <c r="F466" s="3">
        <f>COUNTIF($A$2:A466,A466)-1</f>
        <v>1</v>
      </c>
      <c r="G466" s="3" t="str">
        <f t="shared" si="14"/>
        <v>Active</v>
      </c>
      <c r="H466" s="3" t="str">
        <f t="shared" si="15"/>
        <v>Jul 2023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 x14ac:dyDescent="0.25">
      <c r="A467" s="1" t="s">
        <v>113</v>
      </c>
      <c r="B467" s="2">
        <v>45561</v>
      </c>
      <c r="C467" s="1">
        <v>652.72</v>
      </c>
      <c r="D467" s="1" t="s">
        <v>21</v>
      </c>
      <c r="E467" s="1" t="s">
        <v>10</v>
      </c>
      <c r="F467" s="3">
        <f>COUNTIF($A$2:A467,A467)-1</f>
        <v>2</v>
      </c>
      <c r="G467" s="3" t="str">
        <f t="shared" si="14"/>
        <v>Active</v>
      </c>
      <c r="H467" s="3" t="str">
        <f t="shared" si="15"/>
        <v>Sept 2024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 x14ac:dyDescent="0.25">
      <c r="A468" s="1" t="s">
        <v>52</v>
      </c>
      <c r="B468" s="2">
        <v>44676</v>
      </c>
      <c r="C468" s="1">
        <v>665.9</v>
      </c>
      <c r="D468" s="1" t="s">
        <v>15</v>
      </c>
      <c r="E468" s="1" t="s">
        <v>16</v>
      </c>
      <c r="F468" s="3">
        <f>COUNTIF($A$2:A468,A468)-1</f>
        <v>0</v>
      </c>
      <c r="G468" s="3" t="str">
        <f t="shared" si="14"/>
        <v>New</v>
      </c>
      <c r="H468" s="3" t="str">
        <f t="shared" si="15"/>
        <v>Apr 2022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 x14ac:dyDescent="0.25">
      <c r="A469" s="1" t="s">
        <v>52</v>
      </c>
      <c r="B469" s="2">
        <v>44858</v>
      </c>
      <c r="C469" s="1">
        <v>543.95000000000005</v>
      </c>
      <c r="D469" s="1" t="s">
        <v>15</v>
      </c>
      <c r="E469" s="1" t="s">
        <v>13</v>
      </c>
      <c r="F469" s="3">
        <f>COUNTIF($A$2:A469,A469)-1</f>
        <v>1</v>
      </c>
      <c r="G469" s="3" t="str">
        <f t="shared" si="14"/>
        <v>Active</v>
      </c>
      <c r="H469" s="3" t="str">
        <f t="shared" si="15"/>
        <v>Oct 2022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 x14ac:dyDescent="0.25">
      <c r="A470" s="1" t="s">
        <v>52</v>
      </c>
      <c r="B470" s="2">
        <v>45024</v>
      </c>
      <c r="C470" s="1">
        <v>878.57</v>
      </c>
      <c r="D470" s="1" t="s">
        <v>9</v>
      </c>
      <c r="E470" s="1" t="s">
        <v>13</v>
      </c>
      <c r="F470" s="3">
        <f>COUNTIF($A$2:A470,A470)-1</f>
        <v>2</v>
      </c>
      <c r="G470" s="3" t="str">
        <f t="shared" si="14"/>
        <v>Active</v>
      </c>
      <c r="H470" s="3" t="str">
        <f t="shared" si="15"/>
        <v>Apr 2023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 x14ac:dyDescent="0.25">
      <c r="A471" s="1" t="s">
        <v>52</v>
      </c>
      <c r="B471" s="2">
        <v>45302</v>
      </c>
      <c r="C471" s="1">
        <v>740.52</v>
      </c>
      <c r="D471" s="1" t="s">
        <v>12</v>
      </c>
      <c r="E471" s="1" t="s">
        <v>16</v>
      </c>
      <c r="F471" s="3">
        <f>COUNTIF($A$2:A471,A471)-1</f>
        <v>3</v>
      </c>
      <c r="G471" s="3" t="str">
        <f t="shared" si="14"/>
        <v>Active</v>
      </c>
      <c r="H471" s="3" t="str">
        <f t="shared" si="15"/>
        <v>Jan 2024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 x14ac:dyDescent="0.25">
      <c r="A472" s="1" t="s">
        <v>52</v>
      </c>
      <c r="B472" s="2">
        <v>45334</v>
      </c>
      <c r="C472" s="1">
        <v>24.25</v>
      </c>
      <c r="D472" s="1" t="s">
        <v>21</v>
      </c>
      <c r="E472" s="1" t="s">
        <v>16</v>
      </c>
      <c r="F472" s="3">
        <f>COUNTIF($A$2:A472,A472)-1</f>
        <v>4</v>
      </c>
      <c r="G472" s="3" t="str">
        <f t="shared" si="14"/>
        <v>Active</v>
      </c>
      <c r="H472" s="3" t="str">
        <f t="shared" si="15"/>
        <v>Feb 2024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 x14ac:dyDescent="0.25">
      <c r="A473" s="1" t="s">
        <v>52</v>
      </c>
      <c r="B473" s="2">
        <v>45386</v>
      </c>
      <c r="C473" s="1">
        <v>79.86</v>
      </c>
      <c r="D473" s="1" t="s">
        <v>21</v>
      </c>
      <c r="E473" s="1" t="s">
        <v>10</v>
      </c>
      <c r="F473" s="3">
        <f>COUNTIF($A$2:A473,A473)-1</f>
        <v>5</v>
      </c>
      <c r="G473" s="3" t="str">
        <f t="shared" si="14"/>
        <v>Power User</v>
      </c>
      <c r="H473" s="3" t="str">
        <f t="shared" si="15"/>
        <v>Apr 2024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 x14ac:dyDescent="0.25">
      <c r="A474" s="1" t="s">
        <v>52</v>
      </c>
      <c r="B474" s="2">
        <v>45405</v>
      </c>
      <c r="C474" s="1">
        <v>392.24</v>
      </c>
      <c r="D474" s="1" t="s">
        <v>15</v>
      </c>
      <c r="E474" s="1" t="s">
        <v>10</v>
      </c>
      <c r="F474" s="3">
        <f>COUNTIF($A$2:A474,A474)-1</f>
        <v>6</v>
      </c>
      <c r="G474" s="3" t="str">
        <f t="shared" si="14"/>
        <v>Power User</v>
      </c>
      <c r="H474" s="3" t="str">
        <f t="shared" si="15"/>
        <v>Apr 2024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 x14ac:dyDescent="0.25">
      <c r="A475" s="1" t="s">
        <v>52</v>
      </c>
      <c r="B475" s="2">
        <v>45551</v>
      </c>
      <c r="C475" s="1">
        <v>429.98</v>
      </c>
      <c r="D475" s="1" t="s">
        <v>12</v>
      </c>
      <c r="E475" s="1" t="s">
        <v>16</v>
      </c>
      <c r="F475" s="3">
        <f>COUNTIF($A$2:A475,A475)-1</f>
        <v>7</v>
      </c>
      <c r="G475" s="3" t="str">
        <f t="shared" si="14"/>
        <v>Power User</v>
      </c>
      <c r="H475" s="3" t="str">
        <f t="shared" si="15"/>
        <v>Sept 2024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 x14ac:dyDescent="0.25">
      <c r="A476" s="1" t="s">
        <v>73</v>
      </c>
      <c r="B476" s="2">
        <v>44747</v>
      </c>
      <c r="C476" s="1">
        <v>709.79</v>
      </c>
      <c r="D476" s="1" t="s">
        <v>12</v>
      </c>
      <c r="E476" s="1" t="s">
        <v>7</v>
      </c>
      <c r="F476" s="3">
        <f>COUNTIF($A$2:A476,A476)-1</f>
        <v>0</v>
      </c>
      <c r="G476" s="3" t="str">
        <f t="shared" si="14"/>
        <v>New</v>
      </c>
      <c r="H476" s="3" t="str">
        <f t="shared" si="15"/>
        <v>Jul 2022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 x14ac:dyDescent="0.25">
      <c r="A477" s="1" t="s">
        <v>73</v>
      </c>
      <c r="B477" s="2">
        <v>45151</v>
      </c>
      <c r="C477" s="1">
        <v>936.79</v>
      </c>
      <c r="D477" s="1" t="s">
        <v>9</v>
      </c>
      <c r="E477" s="1" t="s">
        <v>10</v>
      </c>
      <c r="F477" s="3">
        <f>COUNTIF($A$2:A477,A477)-1</f>
        <v>1</v>
      </c>
      <c r="G477" s="3" t="str">
        <f t="shared" si="14"/>
        <v>Active</v>
      </c>
      <c r="H477" s="3" t="str">
        <f t="shared" si="15"/>
        <v>Aug 2023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 x14ac:dyDescent="0.25">
      <c r="A478" s="1" t="s">
        <v>30</v>
      </c>
      <c r="B478" s="2">
        <v>44614</v>
      </c>
      <c r="C478" s="1">
        <v>529.51</v>
      </c>
      <c r="D478" s="1" t="s">
        <v>12</v>
      </c>
      <c r="E478" s="1" t="s">
        <v>7</v>
      </c>
      <c r="F478" s="3">
        <f>COUNTIF($A$2:A478,A478)-1</f>
        <v>0</v>
      </c>
      <c r="G478" s="3" t="str">
        <f t="shared" si="14"/>
        <v>New</v>
      </c>
      <c r="H478" s="3" t="str">
        <f t="shared" si="15"/>
        <v>Feb 2022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 x14ac:dyDescent="0.25">
      <c r="A479" s="1" t="s">
        <v>30</v>
      </c>
      <c r="B479" s="2">
        <v>44796</v>
      </c>
      <c r="C479" s="1">
        <v>498.86</v>
      </c>
      <c r="D479" s="1" t="s">
        <v>15</v>
      </c>
      <c r="E479" s="1" t="s">
        <v>13</v>
      </c>
      <c r="F479" s="3">
        <f>COUNTIF($A$2:A479,A479)-1</f>
        <v>1</v>
      </c>
      <c r="G479" s="3" t="str">
        <f t="shared" si="14"/>
        <v>Active</v>
      </c>
      <c r="H479" s="3" t="str">
        <f t="shared" si="15"/>
        <v>Aug 2022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 x14ac:dyDescent="0.25">
      <c r="A480" s="1" t="s">
        <v>30</v>
      </c>
      <c r="B480" s="2">
        <v>45390</v>
      </c>
      <c r="C480" s="1">
        <v>36.25</v>
      </c>
      <c r="D480" s="1" t="s">
        <v>21</v>
      </c>
      <c r="E480" s="1" t="s">
        <v>16</v>
      </c>
      <c r="F480" s="3">
        <f>COUNTIF($A$2:A480,A480)-1</f>
        <v>2</v>
      </c>
      <c r="G480" s="3" t="str">
        <f t="shared" si="14"/>
        <v>Active</v>
      </c>
      <c r="H480" s="3" t="str">
        <f t="shared" si="15"/>
        <v>Apr 2024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 x14ac:dyDescent="0.25">
      <c r="A481" s="1" t="s">
        <v>30</v>
      </c>
      <c r="B481" s="2">
        <v>45432</v>
      </c>
      <c r="C481" s="1">
        <v>816.32</v>
      </c>
      <c r="D481" s="1" t="s">
        <v>9</v>
      </c>
      <c r="E481" s="1" t="s">
        <v>7</v>
      </c>
      <c r="F481" s="3">
        <f>COUNTIF($A$2:A481,A481)-1</f>
        <v>3</v>
      </c>
      <c r="G481" s="3" t="str">
        <f t="shared" si="14"/>
        <v>Active</v>
      </c>
      <c r="H481" s="3" t="str">
        <f t="shared" si="15"/>
        <v>May 2024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 x14ac:dyDescent="0.25">
      <c r="A482" s="1" t="s">
        <v>145</v>
      </c>
      <c r="B482" s="2">
        <v>45221</v>
      </c>
      <c r="C482" s="1">
        <v>40.200000000000003</v>
      </c>
      <c r="D482" s="1" t="s">
        <v>6</v>
      </c>
      <c r="E482" s="1" t="s">
        <v>7</v>
      </c>
      <c r="F482" s="3">
        <f>COUNTIF($A$2:A482,A482)-1</f>
        <v>0</v>
      </c>
      <c r="G482" s="3" t="str">
        <f t="shared" si="14"/>
        <v>New</v>
      </c>
      <c r="H482" s="3" t="str">
        <f t="shared" si="15"/>
        <v>Oct 2023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 x14ac:dyDescent="0.25">
      <c r="A483" s="1" t="s">
        <v>145</v>
      </c>
      <c r="B483" s="2">
        <v>45250</v>
      </c>
      <c r="C483" s="1">
        <v>521.14</v>
      </c>
      <c r="D483" s="1" t="s">
        <v>21</v>
      </c>
      <c r="E483" s="1" t="s">
        <v>13</v>
      </c>
      <c r="F483" s="3">
        <f>COUNTIF($A$2:A483,A483)-1</f>
        <v>1</v>
      </c>
      <c r="G483" s="3" t="str">
        <f t="shared" si="14"/>
        <v>Active</v>
      </c>
      <c r="H483" s="3" t="str">
        <f t="shared" si="15"/>
        <v>Nov 2023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 x14ac:dyDescent="0.25">
      <c r="A484" s="1" t="s">
        <v>80</v>
      </c>
      <c r="B484" s="2">
        <v>44770</v>
      </c>
      <c r="C484" s="1">
        <v>331.93</v>
      </c>
      <c r="D484" s="1" t="s">
        <v>21</v>
      </c>
      <c r="E484" s="1" t="s">
        <v>10</v>
      </c>
      <c r="F484" s="3">
        <f>COUNTIF($A$2:A484,A484)-1</f>
        <v>0</v>
      </c>
      <c r="G484" s="3" t="str">
        <f t="shared" si="14"/>
        <v>New</v>
      </c>
      <c r="H484" s="3" t="str">
        <f t="shared" si="15"/>
        <v>Jul 2022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 x14ac:dyDescent="0.25">
      <c r="A485" s="1" t="s">
        <v>80</v>
      </c>
      <c r="B485" s="2">
        <v>44939</v>
      </c>
      <c r="C485" s="1">
        <v>985.79</v>
      </c>
      <c r="D485" s="1" t="s">
        <v>6</v>
      </c>
      <c r="E485" s="1" t="s">
        <v>16</v>
      </c>
      <c r="F485" s="3">
        <f>COUNTIF($A$2:A485,A485)-1</f>
        <v>1</v>
      </c>
      <c r="G485" s="3" t="str">
        <f t="shared" si="14"/>
        <v>Active</v>
      </c>
      <c r="H485" s="3" t="str">
        <f t="shared" si="15"/>
        <v>Jan 2023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 x14ac:dyDescent="0.25">
      <c r="A486" s="1" t="s">
        <v>80</v>
      </c>
      <c r="B486" s="2">
        <v>45206</v>
      </c>
      <c r="C486" s="1">
        <v>103.04</v>
      </c>
      <c r="D486" s="1" t="s">
        <v>12</v>
      </c>
      <c r="E486" s="1" t="s">
        <v>13</v>
      </c>
      <c r="F486" s="3">
        <f>COUNTIF($A$2:A486,A486)-1</f>
        <v>2</v>
      </c>
      <c r="G486" s="3" t="str">
        <f t="shared" si="14"/>
        <v>Active</v>
      </c>
      <c r="H486" s="3" t="str">
        <f t="shared" si="15"/>
        <v>Oct 2023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 x14ac:dyDescent="0.25">
      <c r="A487" s="1" t="s">
        <v>80</v>
      </c>
      <c r="B487" s="2">
        <v>45556</v>
      </c>
      <c r="C487" s="1">
        <v>65.739999999999995</v>
      </c>
      <c r="D487" s="1" t="s">
        <v>21</v>
      </c>
      <c r="E487" s="1" t="s">
        <v>7</v>
      </c>
      <c r="F487" s="3">
        <f>COUNTIF($A$2:A487,A487)-1</f>
        <v>3</v>
      </c>
      <c r="G487" s="3" t="str">
        <f t="shared" si="14"/>
        <v>Active</v>
      </c>
      <c r="H487" s="3" t="str">
        <f t="shared" si="15"/>
        <v>Sept 2024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 x14ac:dyDescent="0.25">
      <c r="A488" s="1" t="s">
        <v>127</v>
      </c>
      <c r="B488" s="2">
        <v>45055</v>
      </c>
      <c r="C488" s="1">
        <v>93.3</v>
      </c>
      <c r="D488" s="1" t="s">
        <v>12</v>
      </c>
      <c r="E488" s="1" t="s">
        <v>10</v>
      </c>
      <c r="F488" s="3">
        <f>COUNTIF($A$2:A488,A488)-1</f>
        <v>0</v>
      </c>
      <c r="G488" s="3" t="str">
        <f t="shared" si="14"/>
        <v>New</v>
      </c>
      <c r="H488" s="3" t="str">
        <f t="shared" si="15"/>
        <v>May 2023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 x14ac:dyDescent="0.25">
      <c r="A489" s="1" t="s">
        <v>55</v>
      </c>
      <c r="B489" s="2">
        <v>44689</v>
      </c>
      <c r="C489" s="1">
        <v>551.24</v>
      </c>
      <c r="D489" s="1" t="s">
        <v>15</v>
      </c>
      <c r="E489" s="1" t="s">
        <v>10</v>
      </c>
      <c r="F489" s="3">
        <f>COUNTIF($A$2:A489,A489)-1</f>
        <v>0</v>
      </c>
      <c r="G489" s="3" t="str">
        <f t="shared" si="14"/>
        <v>New</v>
      </c>
      <c r="H489" s="3" t="str">
        <f t="shared" si="15"/>
        <v>May 2022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 x14ac:dyDescent="0.25">
      <c r="A490" s="1" t="s">
        <v>55</v>
      </c>
      <c r="B490" s="2">
        <v>45056</v>
      </c>
      <c r="C490" s="1">
        <v>170.01</v>
      </c>
      <c r="D490" s="1" t="s">
        <v>12</v>
      </c>
      <c r="E490" s="1" t="s">
        <v>13</v>
      </c>
      <c r="F490" s="3">
        <f>COUNTIF($A$2:A490,A490)-1</f>
        <v>1</v>
      </c>
      <c r="G490" s="3" t="str">
        <f t="shared" si="14"/>
        <v>Active</v>
      </c>
      <c r="H490" s="3" t="str">
        <f t="shared" si="15"/>
        <v>May 2023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 x14ac:dyDescent="0.25">
      <c r="A491" s="1" t="s">
        <v>55</v>
      </c>
      <c r="B491" s="2">
        <v>45514</v>
      </c>
      <c r="C491" s="1">
        <v>151.56</v>
      </c>
      <c r="D491" s="1" t="s">
        <v>9</v>
      </c>
      <c r="E491" s="1" t="s">
        <v>16</v>
      </c>
      <c r="F491" s="3">
        <f>COUNTIF($A$2:A491,A491)-1</f>
        <v>2</v>
      </c>
      <c r="G491" s="3" t="str">
        <f t="shared" si="14"/>
        <v>Active</v>
      </c>
      <c r="H491" s="3" t="str">
        <f t="shared" si="15"/>
        <v>Aug 2024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 x14ac:dyDescent="0.25">
      <c r="A492" s="1" t="s">
        <v>55</v>
      </c>
      <c r="B492" s="2">
        <v>45649</v>
      </c>
      <c r="C492" s="1">
        <v>196.24</v>
      </c>
      <c r="D492" s="1" t="s">
        <v>9</v>
      </c>
      <c r="E492" s="1" t="s">
        <v>10</v>
      </c>
      <c r="F492" s="3">
        <f>COUNTIF($A$2:A492,A492)-1</f>
        <v>3</v>
      </c>
      <c r="G492" s="3" t="str">
        <f t="shared" si="14"/>
        <v>Active</v>
      </c>
      <c r="H492" s="3" t="str">
        <f t="shared" si="15"/>
        <v>Dec 2024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 x14ac:dyDescent="0.25">
      <c r="A493" s="1" t="s">
        <v>141</v>
      </c>
      <c r="B493" s="2">
        <v>45162</v>
      </c>
      <c r="C493" s="1">
        <v>523.15</v>
      </c>
      <c r="D493" s="1" t="s">
        <v>15</v>
      </c>
      <c r="E493" s="1" t="s">
        <v>10</v>
      </c>
      <c r="F493" s="3">
        <f>COUNTIF($A$2:A493,A493)-1</f>
        <v>0</v>
      </c>
      <c r="G493" s="3" t="str">
        <f t="shared" si="14"/>
        <v>New</v>
      </c>
      <c r="H493" s="3" t="str">
        <f t="shared" si="15"/>
        <v>Aug 2023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 x14ac:dyDescent="0.25">
      <c r="A494" s="1" t="s">
        <v>141</v>
      </c>
      <c r="B494" s="2">
        <v>45210</v>
      </c>
      <c r="C494" s="1">
        <v>45.58</v>
      </c>
      <c r="D494" s="1" t="s">
        <v>21</v>
      </c>
      <c r="E494" s="1" t="s">
        <v>7</v>
      </c>
      <c r="F494" s="3">
        <f>COUNTIF($A$2:A494,A494)-1</f>
        <v>1</v>
      </c>
      <c r="G494" s="3" t="str">
        <f t="shared" si="14"/>
        <v>Active</v>
      </c>
      <c r="H494" s="3" t="str">
        <f t="shared" si="15"/>
        <v>Oct 2023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 x14ac:dyDescent="0.25">
      <c r="A495" s="1" t="s">
        <v>141</v>
      </c>
      <c r="B495" s="2">
        <v>45497</v>
      </c>
      <c r="C495" s="1">
        <v>754.85</v>
      </c>
      <c r="D495" s="1" t="s">
        <v>21</v>
      </c>
      <c r="E495" s="1" t="s">
        <v>13</v>
      </c>
      <c r="F495" s="3">
        <f>COUNTIF($A$2:A495,A495)-1</f>
        <v>2</v>
      </c>
      <c r="G495" s="3" t="str">
        <f t="shared" si="14"/>
        <v>Active</v>
      </c>
      <c r="H495" s="3" t="str">
        <f t="shared" si="15"/>
        <v>Jul 2024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 x14ac:dyDescent="0.25">
      <c r="A496" s="1" t="s">
        <v>141</v>
      </c>
      <c r="B496" s="2">
        <v>45569</v>
      </c>
      <c r="C496" s="1">
        <v>869.91</v>
      </c>
      <c r="D496" s="1" t="s">
        <v>12</v>
      </c>
      <c r="E496" s="1" t="s">
        <v>10</v>
      </c>
      <c r="F496" s="3">
        <f>COUNTIF($A$2:A496,A496)-1</f>
        <v>3</v>
      </c>
      <c r="G496" s="3" t="str">
        <f t="shared" si="14"/>
        <v>Active</v>
      </c>
      <c r="H496" s="3" t="str">
        <f t="shared" si="15"/>
        <v>Oct 2024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 x14ac:dyDescent="0.25">
      <c r="A497" s="1" t="s">
        <v>85</v>
      </c>
      <c r="B497" s="2">
        <v>44802</v>
      </c>
      <c r="C497" s="1">
        <v>35.159999999999997</v>
      </c>
      <c r="D497" s="1" t="s">
        <v>12</v>
      </c>
      <c r="E497" s="1" t="s">
        <v>7</v>
      </c>
      <c r="F497" s="3">
        <f>COUNTIF($A$2:A497,A497)-1</f>
        <v>0</v>
      </c>
      <c r="G497" s="3" t="str">
        <f t="shared" si="14"/>
        <v>New</v>
      </c>
      <c r="H497" s="3" t="str">
        <f t="shared" si="15"/>
        <v>Aug 2022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 x14ac:dyDescent="0.25">
      <c r="A498" s="1" t="s">
        <v>85</v>
      </c>
      <c r="B498" s="2">
        <v>44806</v>
      </c>
      <c r="C498" s="1">
        <v>41.11</v>
      </c>
      <c r="D498" s="1" t="s">
        <v>9</v>
      </c>
      <c r="E498" s="1" t="s">
        <v>13</v>
      </c>
      <c r="F498" s="3">
        <f>COUNTIF($A$2:A498,A498)-1</f>
        <v>1</v>
      </c>
      <c r="G498" s="3" t="str">
        <f t="shared" si="14"/>
        <v>Active</v>
      </c>
      <c r="H498" s="3" t="str">
        <f t="shared" si="15"/>
        <v>Sept 2022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 x14ac:dyDescent="0.25">
      <c r="A499" s="1" t="s">
        <v>85</v>
      </c>
      <c r="B499" s="2">
        <v>45174</v>
      </c>
      <c r="C499" s="1">
        <v>300.66000000000003</v>
      </c>
      <c r="D499" s="1" t="s">
        <v>12</v>
      </c>
      <c r="E499" s="1" t="s">
        <v>16</v>
      </c>
      <c r="F499" s="3">
        <f>COUNTIF($A$2:A499,A499)-1</f>
        <v>2</v>
      </c>
      <c r="G499" s="3" t="str">
        <f t="shared" si="14"/>
        <v>Active</v>
      </c>
      <c r="H499" s="3" t="str">
        <f t="shared" si="15"/>
        <v>Sept 2023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 x14ac:dyDescent="0.25">
      <c r="A500" s="1" t="s">
        <v>85</v>
      </c>
      <c r="B500" s="2">
        <v>45219</v>
      </c>
      <c r="C500" s="1">
        <v>594.91999999999996</v>
      </c>
      <c r="D500" s="1" t="s">
        <v>12</v>
      </c>
      <c r="E500" s="1" t="s">
        <v>10</v>
      </c>
      <c r="F500" s="3">
        <f>COUNTIF($A$2:A500,A500)-1</f>
        <v>3</v>
      </c>
      <c r="G500" s="3" t="str">
        <f t="shared" si="14"/>
        <v>Active</v>
      </c>
      <c r="H500" s="3" t="str">
        <f t="shared" si="15"/>
        <v>Oct 2023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 x14ac:dyDescent="0.25">
      <c r="A501" s="1" t="s">
        <v>85</v>
      </c>
      <c r="B501" s="2">
        <v>45403</v>
      </c>
      <c r="C501" s="1">
        <v>942.05</v>
      </c>
      <c r="D501" s="1" t="s">
        <v>9</v>
      </c>
      <c r="E501" s="1" t="s">
        <v>10</v>
      </c>
      <c r="F501" s="3">
        <f>COUNTIF($A$2:A501,A501)-1</f>
        <v>4</v>
      </c>
      <c r="G501" s="3" t="str">
        <f t="shared" si="14"/>
        <v>Active</v>
      </c>
      <c r="H501" s="3" t="str">
        <f t="shared" si="15"/>
        <v>Apr 2024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 by Engagement Tier</vt:lpstr>
      <vt:lpstr>Monthly Revenue by Region</vt:lpstr>
      <vt:lpstr>DASHBOARD</vt:lpstr>
      <vt:lpstr>Revenue by Category</vt:lpstr>
      <vt:lpstr>Dummy_E-commerce_Transactions.c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Moyinoluwa Oso</dc:creator>
  <cp:lastModifiedBy>Moyinoluwa Oso</cp:lastModifiedBy>
  <dcterms:created xsi:type="dcterms:W3CDTF">2026-02-07T10:50:32Z</dcterms:created>
  <dcterms:modified xsi:type="dcterms:W3CDTF">2026-02-07T11:20:11Z</dcterms:modified>
</cp:coreProperties>
</file>